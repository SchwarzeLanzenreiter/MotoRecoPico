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ing" sheetId="1" state="visible" r:id="rId1"/>
    <sheet xmlns:r="http://schemas.openxmlformats.org/officeDocument/2006/relationships" name="Cautions" sheetId="2" state="visible" r:id="rId2"/>
  </sheets>
  <definedNames>
    <definedName name="_xlnm._FilterDatabase" localSheetId="0" hidden="1">'Sourcing'!$A$5:$K$31</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sz val="14"/>
    </font>
    <font>
      <name val="Arial"/>
      <i val="1"/>
      <color rgb="00555555"/>
      <sz val="9"/>
    </font>
    <font>
      <name val="Arial"/>
      <b val="1"/>
      <color rgb="001F4E79"/>
      <sz val="9"/>
    </font>
    <font>
      <name val="Arial"/>
      <b val="1"/>
      <color rgb="00FFFFFF"/>
      <sz val="10"/>
    </font>
    <font>
      <name val="Arial"/>
      <b val="1"/>
      <sz val="9"/>
    </font>
    <font>
      <name val="Arial"/>
      <sz val="9"/>
    </font>
    <font>
      <name val="Arial"/>
      <color rgb="000563C1"/>
      <sz val="9"/>
      <u val="single"/>
    </font>
    <font>
      <name val="Arial"/>
      <color rgb="00999999"/>
      <sz val="9"/>
    </font>
    <font>
      <name val="Arial"/>
      <color rgb="00C00000"/>
      <sz val="9"/>
    </font>
    <font>
      <name val="Arial"/>
      <b val="1"/>
      <sz val="10"/>
    </font>
    <font>
      <name val="Arial"/>
      <b val="1"/>
      <color rgb="00C00000"/>
      <sz val="9"/>
    </font>
  </fonts>
  <fills count="6">
    <fill>
      <patternFill/>
    </fill>
    <fill>
      <patternFill patternType="gray125"/>
    </fill>
    <fill>
      <patternFill patternType="solid">
        <fgColor rgb="001F4E79"/>
      </patternFill>
    </fill>
    <fill>
      <patternFill patternType="solid">
        <fgColor rgb="00FFFF00"/>
      </patternFill>
    </fill>
    <fill>
      <patternFill patternType="solid">
        <fgColor rgb="00F2F7FB"/>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0" borderId="1" applyAlignment="1" pivotButton="0" quotePrefix="0" xfId="0">
      <alignment horizontal="left" vertical="center"/>
    </xf>
    <xf numFmtId="0" fontId="6" fillId="0" borderId="1" applyAlignment="1" pivotButton="0" quotePrefix="0" xfId="0">
      <alignment horizontal="left" vertical="center"/>
    </xf>
    <xf numFmtId="0" fontId="6" fillId="0" borderId="1" applyAlignment="1" pivotButton="0" quotePrefix="0" xfId="0">
      <alignment horizontal="center" vertical="center"/>
    </xf>
    <xf numFmtId="0" fontId="7" fillId="0" borderId="1" applyAlignment="1" pivotButton="0" quotePrefix="0" xfId="0">
      <alignment vertical="center"/>
    </xf>
    <xf numFmtId="0" fontId="0" fillId="0" borderId="1" applyAlignment="1" pivotButton="0" quotePrefix="0" xfId="0">
      <alignment vertical="center"/>
    </xf>
    <xf numFmtId="0" fontId="6" fillId="0" borderId="1" applyAlignment="1" pivotButton="0" quotePrefix="0" xfId="0">
      <alignment vertical="center" wrapText="1"/>
    </xf>
    <xf numFmtId="0" fontId="0" fillId="3" borderId="1" pivotButton="0" quotePrefix="0" xfId="0"/>
    <xf numFmtId="0" fontId="5" fillId="4" borderId="1" applyAlignment="1" pivotButton="0" quotePrefix="0" xfId="0">
      <alignment horizontal="left" vertical="center"/>
    </xf>
    <xf numFmtId="0" fontId="6" fillId="4" borderId="1" applyAlignment="1" pivotButton="0" quotePrefix="0" xfId="0">
      <alignment horizontal="left" vertical="center"/>
    </xf>
    <xf numFmtId="0" fontId="6" fillId="4" borderId="1" applyAlignment="1" pivotButton="0" quotePrefix="0" xfId="0">
      <alignment horizontal="center" vertical="center"/>
    </xf>
    <xf numFmtId="0" fontId="8" fillId="4" borderId="1" applyAlignment="1" pivotButton="0" quotePrefix="0" xfId="0">
      <alignment vertical="center"/>
    </xf>
    <xf numFmtId="0" fontId="7" fillId="4" borderId="1" applyAlignment="1" pivotButton="0" quotePrefix="0" xfId="0">
      <alignment vertical="center"/>
    </xf>
    <xf numFmtId="0" fontId="0" fillId="4" borderId="1" applyAlignment="1" pivotButton="0" quotePrefix="0" xfId="0">
      <alignment vertical="center"/>
    </xf>
    <xf numFmtId="0" fontId="6" fillId="4" borderId="1" applyAlignment="1" pivotButton="0" quotePrefix="0" xfId="0">
      <alignment vertical="center" wrapText="1"/>
    </xf>
    <xf numFmtId="0" fontId="9" fillId="4" borderId="1" applyAlignment="1" pivotButton="0" quotePrefix="0" xfId="0">
      <alignment vertical="center" wrapText="1"/>
    </xf>
    <xf numFmtId="0" fontId="8" fillId="0" borderId="1" applyAlignment="1" pivotButton="0" quotePrefix="0" xfId="0">
      <alignment vertical="center"/>
    </xf>
    <xf numFmtId="0" fontId="9" fillId="0" borderId="1" applyAlignment="1" pivotButton="0" quotePrefix="0" xfId="0">
      <alignment vertical="center" wrapText="1"/>
    </xf>
    <xf numFmtId="0" fontId="10" fillId="0" borderId="0" applyAlignment="1" pivotButton="0" quotePrefix="0" xfId="0">
      <alignment horizontal="right"/>
    </xf>
    <xf numFmtId="0" fontId="10" fillId="0" borderId="1" applyAlignment="1" pivotButton="0" quotePrefix="0" xfId="0">
      <alignment horizontal="center"/>
    </xf>
    <xf numFmtId="0" fontId="11" fillId="5" borderId="1" applyAlignment="1" pivotButton="0" quotePrefix="0" xfId="0">
      <alignment horizontal="center" vertical="top" wrapText="1"/>
    </xf>
    <xf numFmtId="0" fontId="5" fillId="0" borderId="1" applyAlignment="1" pivotButton="0" quotePrefix="0" xfId="0">
      <alignment horizontal="left" vertical="top" wrapText="1"/>
    </xf>
    <xf numFmtId="0" fontId="6" fillId="0" borderId="1" applyAlignment="1" pivotButton="0" quotePrefix="0" xfId="0">
      <alignment horizontal="left" vertical="top" wrapText="1"/>
    </xf>
    <xf numFmtId="0" fontId="3"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kizukidenshi.com/catalog/g/g130357/" TargetMode="External" Id="rId1"/><Relationship Type="http://schemas.openxmlformats.org/officeDocument/2006/relationships/hyperlink" Target="https://www.marutsu.co.jp/GoodsListNavi.jsp?q=RC0603FR-07100KL" TargetMode="External" Id="rId2"/><Relationship Type="http://schemas.openxmlformats.org/officeDocument/2006/relationships/hyperlink" Target="https://www.marutsu.co.jp/GoodsListNavi.jsp?q=RC0603FR-0722KL" TargetMode="External" Id="rId3"/><Relationship Type="http://schemas.openxmlformats.org/officeDocument/2006/relationships/hyperlink" Target="https://akizukidenshi.com/catalog/g/g130355/" TargetMode="External" Id="rId4"/><Relationship Type="http://schemas.openxmlformats.org/officeDocument/2006/relationships/hyperlink" Target="https://www.marutsu.co.jp/GoodsListNavi.jsp?q=RC0603FR-0710KL" TargetMode="External" Id="rId5"/><Relationship Type="http://schemas.openxmlformats.org/officeDocument/2006/relationships/hyperlink" Target="https://akizukidenshi.com/catalog/g/g130332/" TargetMode="External" Id="rId6"/><Relationship Type="http://schemas.openxmlformats.org/officeDocument/2006/relationships/hyperlink" Target="https://www.marutsu.co.jp/GoodsListNavi.jsp?q=RC0603FR-07120RL" TargetMode="External" Id="rId7"/><Relationship Type="http://schemas.openxmlformats.org/officeDocument/2006/relationships/hyperlink" Target="https://akizukidenshi.com/catalog/g/g114122/" TargetMode="External" Id="rId8"/><Relationship Type="http://schemas.openxmlformats.org/officeDocument/2006/relationships/hyperlink" Target="https://www.marutsu.co.jp/GoodsListNavi.jsp?q=RC0603FR-071KL" TargetMode="External" Id="rId9"/><Relationship Type="http://schemas.openxmlformats.org/officeDocument/2006/relationships/hyperlink" Target="https://akizukidenshi.com/catalog/g/g114559/" TargetMode="External" Id="rId10"/><Relationship Type="http://schemas.openxmlformats.org/officeDocument/2006/relationships/hyperlink" Target="https://www.marutsu.co.jp/GoodsListNavi.jsp?q=CC0603KRX7R9BB104" TargetMode="External" Id="rId11"/><Relationship Type="http://schemas.openxmlformats.org/officeDocument/2006/relationships/hyperlink" Target="https://www.akizukidenshi.com/catalog/g/gP-11626/" TargetMode="External" Id="rId12"/><Relationship Type="http://schemas.openxmlformats.org/officeDocument/2006/relationships/hyperlink" Target="https://www.marutsu.co.jp/GoodsListNavi.jsp?q=CC0603JRNPO9BN220" TargetMode="External" Id="rId13"/><Relationship Type="http://schemas.openxmlformats.org/officeDocument/2006/relationships/hyperlink" Target="https://akizukidenshi.com/catalog/g/g113161/" TargetMode="External" Id="rId14"/><Relationship Type="http://schemas.openxmlformats.org/officeDocument/2006/relationships/hyperlink" Target="https://www.marutsu.co.jp/GoodsListNavi.jsp?q=GRM188R61E106KA73D" TargetMode="External" Id="rId15"/><Relationship Type="http://schemas.openxmlformats.org/officeDocument/2006/relationships/hyperlink" Target="https://www.mouser.com/ProductDetail/Murata-Electronics/GRM188R61E106KA73D?qs=5aG0NVq1C4z8ebxPkQZf9A%3D%3D" TargetMode="External" Id="rId16"/><Relationship Type="http://schemas.openxmlformats.org/officeDocument/2006/relationships/hyperlink" Target="https://www.digikey.com/en/products/detail/murata-electronics/GRM188R61E106KA73D/9867922" TargetMode="External" Id="rId17"/><Relationship Type="http://schemas.openxmlformats.org/officeDocument/2006/relationships/hyperlink" Target="https://www.marutsu.co.jp/GoodsListNavi.jsp?q=1N5819HW-7-F" TargetMode="External" Id="rId18"/><Relationship Type="http://schemas.openxmlformats.org/officeDocument/2006/relationships/hyperlink" Target="https://www.mouser.com/ProductDetail/Diodes-Incorporated/1N5819HW-7-F?qs=NQ47qNm99eDyWTEd07miYA%3D%3D" TargetMode="External" Id="rId19"/><Relationship Type="http://schemas.openxmlformats.org/officeDocument/2006/relationships/hyperlink" Target="https://www.digikey.com/product-detail/en/1N5819HW-7-F/1N5819HW-FDICT-ND/815283" TargetMode="External" Id="rId20"/><Relationship Type="http://schemas.openxmlformats.org/officeDocument/2006/relationships/hyperlink" Target="https://www.marutsu.co.jp/pc/i/2079887/" TargetMode="External" Id="rId21"/><Relationship Type="http://schemas.openxmlformats.org/officeDocument/2006/relationships/hyperlink" Target="https://www.mouser.com/" TargetMode="External" Id="rId22"/><Relationship Type="http://schemas.openxmlformats.org/officeDocument/2006/relationships/hyperlink" Target="https://www.digikey.com/en/products/detail/littelfuse-inc/SMAJ16A/762278" TargetMode="External" Id="rId23"/><Relationship Type="http://schemas.openxmlformats.org/officeDocument/2006/relationships/hyperlink" Target="https://akizukidenshi.com/catalog/g/g116854/" TargetMode="External" Id="rId24"/><Relationship Type="http://schemas.openxmlformats.org/officeDocument/2006/relationships/hyperlink" Target="https://www.marutsu.co.jp/GoodsListNavi.jsp?q=1206L110" TargetMode="External" Id="rId25"/><Relationship Type="http://schemas.openxmlformats.org/officeDocument/2006/relationships/hyperlink" Target="https://www.mouser.com/" TargetMode="External" Id="rId26"/><Relationship Type="http://schemas.openxmlformats.org/officeDocument/2006/relationships/hyperlink" Target="https://www.digikey.com/en/products/detail/littelfuse-inc/1206L110-16WR/3997167" TargetMode="External" Id="rId27"/><Relationship Type="http://schemas.openxmlformats.org/officeDocument/2006/relationships/hyperlink" Target="https://akizukidenshi.com/catalog/g/g105969/" TargetMode="External" Id="rId28"/><Relationship Type="http://schemas.openxmlformats.org/officeDocument/2006/relationships/hyperlink" Target="https://www.marutsu.co.jp/GoodsListNavi.jsp?q=MMBT3904" TargetMode="External" Id="rId29"/><Relationship Type="http://schemas.openxmlformats.org/officeDocument/2006/relationships/hyperlink" Target="https://www.mouser.com/ProductDetail/onsemi/MMBT3904?qs=UMEuL5FsraCg3xKjS4uBJQ%3D%3D" TargetMode="External" Id="rId30"/><Relationship Type="http://schemas.openxmlformats.org/officeDocument/2006/relationships/hyperlink" Target="https://www.digikey.com/en/products/detail/onsemi/MMBT3904/458868" TargetMode="External" Id="rId31"/><Relationship Type="http://schemas.openxmlformats.org/officeDocument/2006/relationships/hyperlink" Target="https://www.marutsu.co.jp/GoodsListNavi.jsp?q=ZXMP6A17E6QTA" TargetMode="External" Id="rId32"/><Relationship Type="http://schemas.openxmlformats.org/officeDocument/2006/relationships/hyperlink" Target="https://www.mouser.com/ProductDetail/Diodes-Incorporated/ZXMP6A17E6QTA?qs=JtunSoW0QGE6mLYIV79weA%3D%3D" TargetMode="External" Id="rId33"/><Relationship Type="http://schemas.openxmlformats.org/officeDocument/2006/relationships/hyperlink" Target="https://www.digikey.com/en/products/detail/diodes-incorporated/ZXMP6A17E6QTA/4810942" TargetMode="External" Id="rId34"/><Relationship Type="http://schemas.openxmlformats.org/officeDocument/2006/relationships/hyperlink" Target="https://www.marutsu.co.jp/GoodsListNavi.jsp?q=AP63205WU-7" TargetMode="External" Id="rId35"/><Relationship Type="http://schemas.openxmlformats.org/officeDocument/2006/relationships/hyperlink" Target="https://www.mouser.com/ProductDetail/Diodes-Incorporated/AP63205WU-7?qs=u16ybLDytRZtkj8PzdWCOw%3D%3D" TargetMode="External" Id="rId36"/><Relationship Type="http://schemas.openxmlformats.org/officeDocument/2006/relationships/hyperlink" Target="https://www.digikey.com/en/products/detail/diodes-incorporated/AP63205WU-7/9858424" TargetMode="External" Id="rId37"/><Relationship Type="http://schemas.openxmlformats.org/officeDocument/2006/relationships/hyperlink" Target="https://www.marutsu.co.jp/GoodsListNavi.jsp?q=ASPI-4030S-6R8M" TargetMode="External" Id="rId38"/><Relationship Type="http://schemas.openxmlformats.org/officeDocument/2006/relationships/hyperlink" Target="https://www.mouser.com/ProductDetail/ABRACON/ASPI-4030S-6R8M-T?qs=BLmuIjeT3qE8jeo8oUT4Iw%3D%3D" TargetMode="External" Id="rId39"/><Relationship Type="http://schemas.openxmlformats.org/officeDocument/2006/relationships/hyperlink" Target="https://www.marutsu.co.jp/GoodsListNavi.jsp?q=GRM31CR71H106KA12" TargetMode="External" Id="rId40"/><Relationship Type="http://schemas.openxmlformats.org/officeDocument/2006/relationships/hyperlink" Target="https://www.mouser.jp/en/ProductDetail/TDK/CNA5L1X7R1H106K160AE?qs=Y0Uzf4wQF3kvAkifwkQiJA%3D%3D" TargetMode="External" Id="rId41"/><Relationship Type="http://schemas.openxmlformats.org/officeDocument/2006/relationships/hyperlink" Target="https://www.marutsu.co.jp/GoodsListNavi.jsp?q=GRM21BR61C226ME44" TargetMode="External" Id="rId42"/><Relationship Type="http://schemas.openxmlformats.org/officeDocument/2006/relationships/hyperlink" Target="https://www.mouser.jp/en/ProductDetail/Murata/GXT21BR61C226ME13L?qs=d0WKAl%252BL4Kb74FO4906dbA%3D%3D" TargetMode="External" Id="rId43"/><Relationship Type="http://schemas.openxmlformats.org/officeDocument/2006/relationships/hyperlink" Target="https://www.marutsu.co.jp/GoodsListNavi.jsp?q=GRM21BR71H104KA01" TargetMode="External" Id="rId44"/><Relationship Type="http://schemas.openxmlformats.org/officeDocument/2006/relationships/hyperlink" Target="https://www.mouser.jp/en/ProductDetail/KYOCERA-AVX/KAF21BR71H104KM?qs=Jm2GQyTW%2FbhmrEcuwq3xrw%3D%3D" TargetMode="External" Id="rId45"/><Relationship Type="http://schemas.openxmlformats.org/officeDocument/2006/relationships/hyperlink" Target="https://akizukidenshi.com/catalog/g/g112663/" TargetMode="External" Id="rId46"/><Relationship Type="http://schemas.openxmlformats.org/officeDocument/2006/relationships/hyperlink" Target="https://www.marutsu.co.jp/GoodsListNavi.jsp?q=MCP25625" TargetMode="External" Id="rId47"/><Relationship Type="http://schemas.openxmlformats.org/officeDocument/2006/relationships/hyperlink" Target="https://www.mouser.com/ProductDetail/Microchip-Technology/MCP25625T-E-SS?qs=YlpJWyuQ3PP8xO0AA8P3ZQ%3D%3D" TargetMode="External" Id="rId48"/><Relationship Type="http://schemas.openxmlformats.org/officeDocument/2006/relationships/hyperlink" Target="https://www.digikey.com/en/products/detail/microchip-technology/MCP25625T-E-SS/4860100" TargetMode="External" Id="rId49"/><Relationship Type="http://schemas.openxmlformats.org/officeDocument/2006/relationships/hyperlink" Target="https://akizukidenshi.com/catalog/g/g130982/" TargetMode="External" Id="rId50"/><Relationship Type="http://schemas.openxmlformats.org/officeDocument/2006/relationships/hyperlink" Target="https://www.marutsu.co.jp/GoodsListNavi.jsp?q=Raspberry+Pi+Pico+2" TargetMode="External" Id="rId51"/><Relationship Type="http://schemas.openxmlformats.org/officeDocument/2006/relationships/hyperlink" Target="https://www.marutsu.co.jp/GoodsListNavi.jsp?q=1-967658-1" TargetMode="External" Id="rId52"/><Relationship Type="http://schemas.openxmlformats.org/officeDocument/2006/relationships/hyperlink" Target="https://www.mouser.jp/en/ProductDetail/TE-Connectivity-AMP/1-967658-1?qs=6Z%252BHCgJKjncTVf7nPH%2FL8g%3D%3D" TargetMode="External" Id="rId53"/><Relationship Type="http://schemas.openxmlformats.org/officeDocument/2006/relationships/hyperlink" Target="https://www.digikey.be/en/products/detail/te-connectivity-amp-connectors/1-967658-1/10478177" TargetMode="External" Id="rId54"/><Relationship Type="http://schemas.openxmlformats.org/officeDocument/2006/relationships/hyperlink" Target="https://www.marutsu.co.jp/pc/i/2571574/" TargetMode="External" Id="rId55"/><Relationship Type="http://schemas.openxmlformats.org/officeDocument/2006/relationships/hyperlink" Target="https://www.mouser.com/ProductDetail/Hirose-Connector/DM3AT-SF-PEJM5?qs=LZSZKJVF+2WTDKp+R7IYAQ%3D%3D" TargetMode="External" Id="rId56"/><Relationship Type="http://schemas.openxmlformats.org/officeDocument/2006/relationships/hyperlink" Target="https://www.digikey.com/en/products/detail/hirose-electric-co-ltd/DM3AT-SF-PEJM5/2533565" TargetMode="External" Id="rId57"/><Relationship Type="http://schemas.openxmlformats.org/officeDocument/2006/relationships/hyperlink" Target="https://akizukidenshi.com/catalog/g/g117980/" TargetMode="External" Id="rId58"/><Relationship Type="http://schemas.openxmlformats.org/officeDocument/2006/relationships/hyperlink" Target="https://www.marutsu.co.jp/GoodsListNavi.jsp?q=GT-502MGG-N" TargetMode="External" Id="rId59"/><Relationship Type="http://schemas.openxmlformats.org/officeDocument/2006/relationships/hyperlink" Target="https://www.digikey.jp/ja/products/detail/yic/GT-502MGG-N/16499054" TargetMode="External" Id="rId60"/><Relationship Type="http://schemas.openxmlformats.org/officeDocument/2006/relationships/hyperlink" Target="https://akizukidenshi.com/catalog/g/g108671/" TargetMode="External" Id="rId61"/><Relationship Type="http://schemas.openxmlformats.org/officeDocument/2006/relationships/hyperlink" Target="https://www.marutsu.co.jp/GoodsListNavi.jsp?q=16MHz+HC-49" TargetMode="External" Id="rId62"/><Relationship Type="http://schemas.openxmlformats.org/officeDocument/2006/relationships/hyperlink" Target="https://akizukidenshi.com/catalog/g/g105779/" TargetMode="External" Id="rId63"/></Relationships>
</file>

<file path=xl/worksheets/sheet1.xml><?xml version="1.0" encoding="utf-8"?>
<worksheet xmlns="http://schemas.openxmlformats.org/spreadsheetml/2006/main">
  <sheetPr>
    <outlinePr summaryBelow="1" summaryRight="1"/>
    <pageSetUpPr/>
  </sheetPr>
  <dimension ref="A1:K32"/>
  <sheetViews>
    <sheetView workbookViewId="0">
      <pane ySplit="5" topLeftCell="A6" activePane="bottomLeft" state="frozen"/>
      <selection pane="bottomLeft" activeCell="A1" sqref="A1"/>
    </sheetView>
  </sheetViews>
  <sheetFormatPr baseColWidth="8" defaultRowHeight="15"/>
  <cols>
    <col width="18" customWidth="1" min="1" max="1"/>
    <col width="32" customWidth="1" min="2" max="2"/>
    <col width="20" customWidth="1" min="3" max="3"/>
    <col width="6" customWidth="1" min="4" max="4"/>
    <col width="24" customWidth="1" min="5" max="5"/>
    <col width="32" customWidth="1" min="6" max="6"/>
    <col width="26" customWidth="1" min="7" max="7"/>
    <col width="22" customWidth="1" min="8" max="8"/>
    <col width="26" customWidth="1" min="9" max="9"/>
    <col width="60" customWidth="1" min="10" max="10"/>
    <col width="9" customWidth="1" min="11" max="11"/>
  </cols>
  <sheetData>
    <row r="1">
      <c r="A1" s="1" t="inlineStr">
        <is>
          <t>MotoRecoPico parts sourcing list</t>
        </is>
      </c>
    </row>
    <row r="2">
      <c r="A2" s="2" t="inlineStr">
        <is>
          <t>All 41 parts (v4: the 5V supply moved to the AP63205), grouped by value into 25 line items plus the sockets. Links are only given for pages whose existence was confirmed. A blank cell means it could not be confirmed at that vendor (not that it does not exist).</t>
        </is>
      </c>
    </row>
    <row r="3">
      <c r="A3" s="3" t="inlineStr">
        <is>
          <t>Marutsu is the only authorized DigiKey distributor in Japan: every DigiKey line item, one at a time, at the same price, with flat Y240 shipping nationwide (free above Y3,000). Akizuki plus Marutsu covers the whole list.</t>
        </is>
      </c>
    </row>
    <row r="5" ht="22" customHeight="1">
      <c r="A5" s="4" t="inlineStr">
        <is>
          <t>Category</t>
        </is>
      </c>
      <c r="B5" s="4" t="inlineStr">
        <is>
          <t>Part / value</t>
        </is>
      </c>
      <c r="C5" s="4" t="inlineStr">
        <is>
          <t>Package</t>
        </is>
      </c>
      <c r="D5" s="4" t="inlineStr">
        <is>
          <t>Qty</t>
        </is>
      </c>
      <c r="E5" s="4" t="inlineStr">
        <is>
          <t>Used in</t>
        </is>
      </c>
      <c r="F5" s="4" t="inlineStr">
        <is>
          <t>Akizuki Denshi</t>
        </is>
      </c>
      <c r="G5" s="4" t="inlineStr">
        <is>
          <t>Marutsu</t>
        </is>
      </c>
      <c r="H5" s="4" t="inlineStr">
        <is>
          <t>Mouser</t>
        </is>
      </c>
      <c r="I5" s="4" t="inlineStr">
        <is>
          <t>DigiKey</t>
        </is>
      </c>
      <c r="J5" s="4" t="inlineStr">
        <is>
          <t>Note</t>
        </is>
      </c>
      <c r="K5" s="4" t="inlineStr">
        <is>
          <t>Ordered</t>
        </is>
      </c>
    </row>
    <row r="6">
      <c r="A6" s="5" t="inlineStr">
        <is>
          <t>Resistor</t>
        </is>
      </c>
      <c r="B6" s="6" t="inlineStr">
        <is>
          <t>100kOhm 1/10W</t>
        </is>
      </c>
      <c r="C6" s="6" t="inlineStr">
        <is>
          <t>1608 (0603)</t>
        </is>
      </c>
      <c r="D6" s="7" t="n">
        <v>3</v>
      </c>
      <c r="E6" s="6" t="inlineStr">
        <is>
          <t>R1, R2, R3</t>
        </is>
      </c>
      <c r="F6" s="8" t="inlineStr">
        <is>
          <t>pack of 100, Y150 (130357)</t>
        </is>
      </c>
      <c r="G6" s="8" t="inlineStr">
        <is>
          <t>RC0603FR-07100KL</t>
        </is>
      </c>
      <c r="H6" s="9" t="n"/>
      <c r="I6" s="9" t="n"/>
      <c r="J6" s="10" t="inlineStr"/>
      <c r="K6" s="11" t="n"/>
    </row>
    <row r="7">
      <c r="A7" s="12" t="inlineStr">
        <is>
          <t>Resistor</t>
        </is>
      </c>
      <c r="B7" s="13" t="inlineStr">
        <is>
          <t>22kOhm 1/10W</t>
        </is>
      </c>
      <c r="C7" s="13" t="inlineStr">
        <is>
          <t>1608 (0603)</t>
        </is>
      </c>
      <c r="D7" s="14" t="n">
        <v>1</v>
      </c>
      <c r="E7" s="13" t="inlineStr">
        <is>
          <t>R4</t>
        </is>
      </c>
      <c r="F7" s="15" t="inlineStr">
        <is>
          <t>no small pack</t>
        </is>
      </c>
      <c r="G7" s="16" t="inlineStr">
        <is>
          <t>RC0603FR-0722KL</t>
        </is>
      </c>
      <c r="H7" s="17" t="n"/>
      <c r="I7" s="17" t="n"/>
      <c r="J7" s="18" t="inlineStr">
        <is>
          <t>Akizuki does not carry 1608 22kOhm in a small pack</t>
        </is>
      </c>
      <c r="K7" s="11" t="n"/>
    </row>
    <row r="8">
      <c r="A8" s="5" t="inlineStr">
        <is>
          <t>Resistor</t>
        </is>
      </c>
      <c r="B8" s="6" t="inlineStr">
        <is>
          <t>10kOhm 1/10W</t>
        </is>
      </c>
      <c r="C8" s="6" t="inlineStr">
        <is>
          <t>1608 (0603)</t>
        </is>
      </c>
      <c r="D8" s="7" t="n">
        <v>7</v>
      </c>
      <c r="E8" s="6" t="inlineStr">
        <is>
          <t>R6, R7, R10-R13, R15 (IG sense)</t>
        </is>
      </c>
      <c r="F8" s="8" t="inlineStr">
        <is>
          <t>pack of 100, Y150 (130355)</t>
        </is>
      </c>
      <c r="G8" s="8" t="inlineStr">
        <is>
          <t>RC0603FR-0710KL</t>
        </is>
      </c>
      <c r="H8" s="9" t="n"/>
      <c r="I8" s="9" t="n"/>
      <c r="J8" s="10" t="inlineStr"/>
      <c r="K8" s="11" t="n"/>
    </row>
    <row r="9">
      <c r="A9" s="12" t="inlineStr">
        <is>
          <t>Resistor</t>
        </is>
      </c>
      <c r="B9" s="13" t="inlineStr">
        <is>
          <t>120Ohm 1/10W</t>
        </is>
      </c>
      <c r="C9" s="13" t="inlineStr">
        <is>
          <t>1608 (0603)</t>
        </is>
      </c>
      <c r="D9" s="14" t="n">
        <v>1</v>
      </c>
      <c r="E9" s="13" t="inlineStr">
        <is>
          <t>R8 (CAN termination)</t>
        </is>
      </c>
      <c r="F9" s="16" t="inlineStr">
        <is>
          <t>reel of 5000, Y980 (130332)</t>
        </is>
      </c>
      <c r="G9" s="16" t="inlineStr">
        <is>
          <t>RC0603FR-07120RL</t>
        </is>
      </c>
      <c r="H9" s="17" t="n"/>
      <c r="I9" s="17" t="n"/>
      <c r="J9" s="18" t="inlineStr">
        <is>
          <t>Akizuki has reels only. Only one is needed, so Marutsu is recommended</t>
        </is>
      </c>
      <c r="K9" s="11" t="n"/>
    </row>
    <row r="10">
      <c r="A10" s="5" t="inlineStr">
        <is>
          <t>Resistor</t>
        </is>
      </c>
      <c r="B10" s="6" t="inlineStr">
        <is>
          <t>1kOhm 1/10W</t>
        </is>
      </c>
      <c r="C10" s="6" t="inlineStr">
        <is>
          <t>1608 (0603)</t>
        </is>
      </c>
      <c r="D10" s="7" t="n">
        <v>1</v>
      </c>
      <c r="E10" s="6" t="inlineStr">
        <is>
          <t>R14</t>
        </is>
      </c>
      <c r="F10" s="8" t="inlineStr">
        <is>
          <t>reel of 5000, Y980 (114122)</t>
        </is>
      </c>
      <c r="G10" s="8" t="inlineStr">
        <is>
          <t>RC0603FR-071KL</t>
        </is>
      </c>
      <c r="H10" s="9" t="n"/>
      <c r="I10" s="9" t="n"/>
      <c r="J10" s="10" t="inlineStr">
        <is>
          <t>Akizuki has reels only. Only one is needed, so Marutsu is recommended</t>
        </is>
      </c>
      <c r="K10" s="11" t="n"/>
    </row>
    <row r="11">
      <c r="A11" s="12" t="inlineStr">
        <is>
          <t>Capacitor</t>
        </is>
      </c>
      <c r="B11" s="13" t="inlineStr">
        <is>
          <t>100nF / 50V or more, X7R</t>
        </is>
      </c>
      <c r="C11" s="13" t="inlineStr">
        <is>
          <t>1608 (0603)</t>
        </is>
      </c>
      <c r="D11" s="14" t="n">
        <v>5</v>
      </c>
      <c r="E11" s="13" t="inlineStr">
        <is>
          <t>C2-C5, C10</t>
        </is>
      </c>
      <c r="F11" s="16" t="inlineStr">
        <is>
          <t>0.1uF 100V X7R (114559)</t>
        </is>
      </c>
      <c r="G11" s="16" t="inlineStr">
        <is>
          <t>CC0603KRX7R9BB104</t>
        </is>
      </c>
      <c r="H11" s="17" t="n"/>
      <c r="I11" s="17" t="n"/>
      <c r="J11" s="19" t="inlineStr">
        <is>
          <t>* Do not buy the F characteristic (113374). It is equivalent to Y5V and moves -82%</t>
        </is>
      </c>
      <c r="K11" s="11" t="n"/>
    </row>
    <row r="12">
      <c r="A12" s="5" t="inlineStr">
        <is>
          <t>Capacitor</t>
        </is>
      </c>
      <c r="B12" s="6" t="inlineStr">
        <is>
          <t>22pF / 50V C0G(NP0)</t>
        </is>
      </c>
      <c r="C12" s="6" t="inlineStr">
        <is>
          <t>1608 (0603)</t>
        </is>
      </c>
      <c r="D12" s="7" t="n">
        <v>2</v>
      </c>
      <c r="E12" s="6" t="inlineStr">
        <is>
          <t>C7, C8 (crystal load)</t>
        </is>
      </c>
      <c r="F12" s="8" t="inlineStr">
        <is>
          <t>pack of 40, Y100 (P-11626)</t>
        </is>
      </c>
      <c r="G12" s="8" t="inlineStr">
        <is>
          <t>CC0603JRNPO9BN220</t>
        </is>
      </c>
      <c r="H12" s="9" t="n"/>
      <c r="I12" s="9" t="n"/>
      <c r="J12" s="10" t="inlineStr">
        <is>
          <t>Shown as out of stock at Akizuki when this was researched</t>
        </is>
      </c>
      <c r="K12" s="11" t="n"/>
    </row>
    <row r="13">
      <c r="A13" s="12" t="inlineStr">
        <is>
          <t>Capacitor</t>
        </is>
      </c>
      <c r="B13" s="13" t="inlineStr">
        <is>
          <t>10uF / 25V or more</t>
        </is>
      </c>
      <c r="C13" s="13" t="inlineStr">
        <is>
          <t>1608 (0603)</t>
        </is>
      </c>
      <c r="D13" s="14" t="n">
        <v>3</v>
      </c>
      <c r="E13" s="13" t="inlineStr">
        <is>
          <t>C6, C11, C13 (Q2 gate delay)</t>
        </is>
      </c>
      <c r="F13" s="16" t="inlineStr">
        <is>
          <t>35V (113161) / 16V (117202)</t>
        </is>
      </c>
      <c r="G13" s="16" t="inlineStr">
        <is>
          <t>GRM188R61E106KA73D</t>
        </is>
      </c>
      <c r="H13" s="16" t="inlineStr">
        <is>
          <t>GRM188R61E106KA73D</t>
        </is>
      </c>
      <c r="I13" s="16" t="inlineStr">
        <is>
          <t>GRM188R61E106KA73D</t>
        </is>
      </c>
      <c r="J13" s="18" t="inlineStr">
        <is>
          <t>C13 sees about 13V during a load dump, so 25V or more is mandatory. Easiest to use the same 25V/35V part for all three</t>
        </is>
      </c>
      <c r="K13" s="11" t="n"/>
    </row>
    <row r="14">
      <c r="A14" s="5" t="inlineStr">
        <is>
          <t>Diode</t>
        </is>
      </c>
      <c r="B14" s="6" t="inlineStr">
        <is>
          <t>B5819W (40V/1A Schottky)</t>
        </is>
      </c>
      <c r="C14" s="6" t="inlineStr">
        <is>
          <t>SOD-123</t>
        </is>
      </c>
      <c r="D14" s="7" t="n">
        <v>2</v>
      </c>
      <c r="E14" s="6" t="inlineStr">
        <is>
          <t>D1, D3</t>
        </is>
      </c>
      <c r="F14" s="20" t="inlineStr">
        <is>
          <t>not carried</t>
        </is>
      </c>
      <c r="G14" s="8" t="inlineStr">
        <is>
          <t>1N5819HW-7-F</t>
        </is>
      </c>
      <c r="H14" s="8" t="inlineStr">
        <is>
          <t>1N5819HW-7-F</t>
        </is>
      </c>
      <c r="I14" s="8" t="inlineStr">
        <is>
          <t>1N5819HW-7-F</t>
        </is>
      </c>
      <c r="J14" s="21" t="inlineStr">
        <is>
          <t>* Akizuki's SS14 is an SMA package and will not fit</t>
        </is>
      </c>
      <c r="K14" s="11" t="n"/>
    </row>
    <row r="15">
      <c r="A15" s="12" t="inlineStr">
        <is>
          <t>Diode</t>
        </is>
      </c>
      <c r="B15" s="13" t="inlineStr">
        <is>
          <t>SMAJ16A (TVS 400W)</t>
        </is>
      </c>
      <c r="C15" s="13" t="inlineStr">
        <is>
          <t>SMA (DO-214AC)</t>
        </is>
      </c>
      <c r="D15" s="14" t="n">
        <v>1</v>
      </c>
      <c r="E15" s="13" t="inlineStr">
        <is>
          <t>D2</t>
        </is>
      </c>
      <c r="F15" s="15" t="inlineStr">
        <is>
          <t>not carried</t>
        </is>
      </c>
      <c r="G15" s="16" t="inlineStr">
        <is>
          <t>Littelfuse SMAJ16A</t>
        </is>
      </c>
      <c r="H15" s="16" t="inlineStr">
        <is>
          <t>SMAJ16A</t>
        </is>
      </c>
      <c r="I15" s="16" t="inlineStr">
        <is>
          <t>Littelfuse SMAJ16A</t>
        </is>
      </c>
      <c r="J15" s="18" t="inlineStr"/>
      <c r="K15" s="11" t="n"/>
    </row>
    <row r="16">
      <c r="A16" s="5" t="inlineStr">
        <is>
          <t>LED</t>
        </is>
      </c>
      <c r="B16" s="6" t="inlineStr">
        <is>
          <t>LP812-010(T) green, side view</t>
        </is>
      </c>
      <c r="C16" s="6" t="inlineStr">
        <is>
          <t>2.8x1.2mm</t>
        </is>
      </c>
      <c r="D16" s="7" t="n">
        <v>1</v>
      </c>
      <c r="E16" s="6" t="inlineStr">
        <is>
          <t>D6</t>
        </is>
      </c>
      <c r="F16" s="8" t="inlineStr">
        <is>
          <t>pack of 10, Y100 (116854)</t>
        </is>
      </c>
      <c r="G16" s="20" t="inlineStr">
        <is>
          <t>not carried</t>
        </is>
      </c>
      <c r="H16" s="9" t="n"/>
      <c r="I16" s="9" t="n"/>
      <c r="J16" s="21" t="inlineStr">
        <is>
          <t>* Only available from Akizuki</t>
        </is>
      </c>
      <c r="K16" s="11" t="n"/>
    </row>
    <row r="17">
      <c r="A17" s="12" t="inlineStr">
        <is>
          <t>Circuit protection</t>
        </is>
      </c>
      <c r="B17" s="13" t="inlineStr">
        <is>
          <t>PPTC 1.1A hold 16V</t>
        </is>
      </c>
      <c r="C17" s="13" t="inlineStr">
        <is>
          <t>1206</t>
        </is>
      </c>
      <c r="D17" s="14" t="n">
        <v>1</v>
      </c>
      <c r="E17" s="13" t="inlineStr">
        <is>
          <t>F1</t>
        </is>
      </c>
      <c r="F17" s="15" t="inlineStr">
        <is>
          <t>not carried</t>
        </is>
      </c>
      <c r="G17" s="16" t="inlineStr">
        <is>
          <t>1206L110/16WR</t>
        </is>
      </c>
      <c r="H17" s="16" t="inlineStr">
        <is>
          <t>1206L110/16WR</t>
        </is>
      </c>
      <c r="I17" s="16" t="inlineStr">
        <is>
          <t>1206L110/16WR</t>
        </is>
      </c>
      <c r="J17" s="19" t="inlineStr">
        <is>
          <t>* Do not confuse it with the 6V (SLYR) or 8V (THYR) parts</t>
        </is>
      </c>
      <c r="K17" s="11" t="n"/>
    </row>
    <row r="18">
      <c r="A18" s="5" t="inlineStr">
        <is>
          <t>Transistor</t>
        </is>
      </c>
      <c r="B18" s="6" t="inlineStr">
        <is>
          <t>MMBT3904 (NPN)</t>
        </is>
      </c>
      <c r="C18" s="6" t="inlineStr">
        <is>
          <t>SOT-23</t>
        </is>
      </c>
      <c r="D18" s="7" t="n">
        <v>1</v>
      </c>
      <c r="E18" s="6" t="inlineStr">
        <is>
          <t>Q1</t>
        </is>
      </c>
      <c r="F18" s="8" t="inlineStr">
        <is>
          <t>pack of 20, Y100 (105969)</t>
        </is>
      </c>
      <c r="G18" s="8" t="inlineStr">
        <is>
          <t>MMBT3904</t>
        </is>
      </c>
      <c r="H18" s="8" t="inlineStr">
        <is>
          <t>onsemi MMBT3904</t>
        </is>
      </c>
      <c r="I18" s="8" t="inlineStr">
        <is>
          <t>onsemi MMBT3904</t>
        </is>
      </c>
      <c r="J18" s="10" t="inlineStr"/>
      <c r="K18" s="11" t="n"/>
    </row>
    <row r="19">
      <c r="A19" s="12" t="inlineStr">
        <is>
          <t>MOSFET</t>
        </is>
      </c>
      <c r="B19" s="13" t="inlineStr">
        <is>
          <t>ZXMP6A17E6Q (P-ch -60V)</t>
        </is>
      </c>
      <c r="C19" s="13" t="inlineStr">
        <is>
          <t>SOT-23-6</t>
        </is>
      </c>
      <c r="D19" s="14" t="n">
        <v>1</v>
      </c>
      <c r="E19" s="13" t="inlineStr">
        <is>
          <t>Q2 (high-side switch)</t>
        </is>
      </c>
      <c r="F19" s="15" t="inlineStr">
        <is>
          <t>not carried</t>
        </is>
      </c>
      <c r="G19" s="16" t="inlineStr">
        <is>
          <t>ZXMP6A17E6QTA</t>
        </is>
      </c>
      <c r="H19" s="16" t="inlineStr">
        <is>
          <t>ZXMP6A17E6QTA</t>
        </is>
      </c>
      <c r="I19" s="16" t="inlineStr">
        <is>
          <t>ZXMP6A17E6QTA</t>
        </is>
      </c>
      <c r="J19" s="18" t="inlineStr"/>
      <c r="K19" s="11" t="n"/>
    </row>
    <row r="20">
      <c r="A20" s="5" t="inlineStr">
        <is>
          <t>Power IC</t>
        </is>
      </c>
      <c r="B20" s="6" t="inlineStr">
        <is>
          <t>AP63205WU-7 (fixed 5V, 2A buck)</t>
        </is>
      </c>
      <c r="C20" s="6" t="inlineStr">
        <is>
          <t>TSOT-26</t>
        </is>
      </c>
      <c r="D20" s="7" t="n">
        <v>1</v>
      </c>
      <c r="E20" s="6" t="inlineStr">
        <is>
          <t>U4 (v4)</t>
        </is>
      </c>
      <c r="F20" s="20" t="inlineStr">
        <is>
          <t>not carried</t>
        </is>
      </c>
      <c r="G20" s="8" t="inlineStr">
        <is>
          <t>AP63205WU-7</t>
        </is>
      </c>
      <c r="H20" s="8" t="inlineStr">
        <is>
          <t>AP63205WU-7</t>
        </is>
      </c>
      <c r="I20" s="8" t="inlineStr">
        <is>
          <t>AP63205WU-7</t>
        </is>
      </c>
      <c r="J20" s="10" t="inlineStr">
        <is>
          <t>Replaced the M78AR05 in v4. Its 3.8V minimum input also resolved the cranking issue</t>
        </is>
      </c>
      <c r="K20" s="11" t="n"/>
    </row>
    <row r="21">
      <c r="A21" s="12" t="inlineStr">
        <is>
          <t>Inductor</t>
        </is>
      </c>
      <c r="B21" s="13" t="inlineStr">
        <is>
          <t>6.8uH 4030, saturation &gt;=1.5A</t>
        </is>
      </c>
      <c r="C21" s="13" t="inlineStr">
        <is>
          <t>4x4x3mm</t>
        </is>
      </c>
      <c r="D21" s="14" t="n">
        <v>1</v>
      </c>
      <c r="E21" s="13" t="inlineStr">
        <is>
          <t>L1 (v4)</t>
        </is>
      </c>
      <c r="F21" s="15" t="inlineStr">
        <is>
          <t>not carried</t>
        </is>
      </c>
      <c r="G21" s="16" t="inlineStr">
        <is>
          <t>ASPI-4030S-6R8M</t>
        </is>
      </c>
      <c r="H21" s="16" t="inlineStr">
        <is>
          <t>ASPI-4030S-6R8M-T</t>
        </is>
      </c>
      <c r="I21" s="17" t="n"/>
      <c r="J21" s="18" t="inlineStr">
        <is>
          <t>A shielded part is recommended. The tallest part on the back of the board (3mm)</t>
        </is>
      </c>
      <c r="K21" s="11" t="n"/>
    </row>
    <row r="22">
      <c r="A22" s="5" t="inlineStr">
        <is>
          <t>Capacitor</t>
        </is>
      </c>
      <c r="B22" s="6" t="inlineStr">
        <is>
          <t>10uF / 50V X7R</t>
        </is>
      </c>
      <c r="C22" s="6" t="inlineStr">
        <is>
          <t>3216 (1206)</t>
        </is>
      </c>
      <c r="D22" s="7" t="n">
        <v>1</v>
      </c>
      <c r="E22" s="6" t="inlineStr">
        <is>
          <t>C14 buck input (v4)</t>
        </is>
      </c>
      <c r="F22" s="20" t="inlineStr">
        <is>
          <t>not carried</t>
        </is>
      </c>
      <c r="G22" s="8" t="inlineStr">
        <is>
          <t>GRM31CR71H106KA12</t>
        </is>
      </c>
      <c r="H22" s="8" t="inlineStr">
        <is>
          <t>810-CNA5L171H106K160</t>
        </is>
      </c>
      <c r="I22" s="9" t="n"/>
      <c r="J22" s="21" t="inlineStr">
        <is>
          <t>* The input sees the 26V clamp directly, so 50V is mandatory. A 25V part will not do</t>
        </is>
      </c>
      <c r="K22" s="11" t="n"/>
    </row>
    <row r="23">
      <c r="A23" s="12" t="inlineStr">
        <is>
          <t>Capacitor</t>
        </is>
      </c>
      <c r="B23" s="13" t="inlineStr">
        <is>
          <t>22uF / 16V</t>
        </is>
      </c>
      <c r="C23" s="13" t="inlineStr">
        <is>
          <t>2012 (0805)</t>
        </is>
      </c>
      <c r="D23" s="14" t="n">
        <v>1</v>
      </c>
      <c r="E23" s="13" t="inlineStr">
        <is>
          <t>C15 buck output (v4)</t>
        </is>
      </c>
      <c r="F23" s="15" t="inlineStr">
        <is>
          <t>not carried</t>
        </is>
      </c>
      <c r="G23" s="16" t="inlineStr">
        <is>
          <t>GRM21BR61C226ME44</t>
        </is>
      </c>
      <c r="H23" s="16" t="inlineStr">
        <is>
          <t>81-GXT21BR61C226ME3L</t>
        </is>
      </c>
      <c r="I23" s="17" t="n"/>
      <c r="J23" s="18" t="inlineStr"/>
      <c r="K23" s="11" t="n"/>
    </row>
    <row r="24">
      <c r="A24" s="5" t="inlineStr">
        <is>
          <t>Capacitor</t>
        </is>
      </c>
      <c r="B24" s="6" t="inlineStr">
        <is>
          <t>100nF / 50V X7R</t>
        </is>
      </c>
      <c r="C24" s="6" t="inlineStr">
        <is>
          <t>2012 (0805)</t>
        </is>
      </c>
      <c r="D24" s="7" t="n">
        <v>1</v>
      </c>
      <c r="E24" s="6" t="inlineStr">
        <is>
          <t>C16 bootstrap (v4)</t>
        </is>
      </c>
      <c r="F24" s="20" t="inlineStr">
        <is>
          <t>not carried</t>
        </is>
      </c>
      <c r="G24" s="8" t="inlineStr">
        <is>
          <t>0805 100nF 50V</t>
        </is>
      </c>
      <c r="H24" s="8" t="inlineStr">
        <is>
          <t>581-KAF21BR71H104KM</t>
        </is>
      </c>
      <c r="I24" s="9" t="n"/>
      <c r="J24" s="10" t="inlineStr">
        <is>
          <t>2012 rather than 1608 to keep the "all 1608 on the front" rule (this one is on the back)</t>
        </is>
      </c>
      <c r="K24" s="11" t="n"/>
    </row>
    <row r="25">
      <c r="A25" s="12" t="inlineStr">
        <is>
          <t>IC</t>
        </is>
      </c>
      <c r="B25" s="13" t="inlineStr">
        <is>
          <t>MCP25625T-E/SS (CAN)</t>
        </is>
      </c>
      <c r="C25" s="13" t="inlineStr">
        <is>
          <t>SSOP-28 0.65mm</t>
        </is>
      </c>
      <c r="D25" s="14" t="n">
        <v>1</v>
      </c>
      <c r="E25" s="13" t="inlineStr">
        <is>
          <t>U2</t>
        </is>
      </c>
      <c r="F25" s="16" t="inlineStr">
        <is>
          <t>Y400 (112663)</t>
        </is>
      </c>
      <c r="G25" s="16" t="inlineStr">
        <is>
          <t>MCP25625</t>
        </is>
      </c>
      <c r="H25" s="16" t="inlineStr">
        <is>
          <t>MCP25625T-E/SS</t>
        </is>
      </c>
      <c r="I25" s="16" t="inlineStr">
        <is>
          <t>MCP25625T-E/SS</t>
        </is>
      </c>
      <c r="J25" s="19" t="inlineStr">
        <is>
          <t>* Cheapest at Akizuki (DigiKey is $3.38). The hardest part to hand solder</t>
        </is>
      </c>
      <c r="K25" s="11" t="n"/>
    </row>
    <row r="26">
      <c r="A26" s="5" t="inlineStr">
        <is>
          <t>MCU</t>
        </is>
      </c>
      <c r="B26" s="6" t="inlineStr">
        <is>
          <t>Raspberry Pi Pico 2</t>
        </is>
      </c>
      <c r="C26" s="6" t="inlineStr">
        <is>
          <t>2x20 2.54mm</t>
        </is>
      </c>
      <c r="D26" s="7" t="n">
        <v>1</v>
      </c>
      <c r="E26" s="6" t="inlineStr">
        <is>
          <t>U3</t>
        </is>
      </c>
      <c r="F26" s="8" t="inlineStr">
        <is>
          <t>Pico 2 H, headers fitted (130982)</t>
        </is>
      </c>
      <c r="G26" s="8" t="inlineStr">
        <is>
          <t>Raspberry Pi Pico 2</t>
        </is>
      </c>
      <c r="H26" s="9" t="n"/>
      <c r="I26" s="9" t="n"/>
      <c r="J26" s="10" t="inlineStr">
        <is>
          <t>Without headers it is (129604). The H version saves fitting the headers yourself</t>
        </is>
      </c>
      <c r="K26" s="11" t="n"/>
    </row>
    <row r="27">
      <c r="A27" s="12" t="inlineStr">
        <is>
          <t>Connector</t>
        </is>
      </c>
      <c r="B27" s="13" t="inlineStr">
        <is>
          <t>TE 1-967658-1 (MQS 8 way RA)</t>
        </is>
      </c>
      <c r="C27" s="13" t="inlineStr">
        <is>
          <t>THT right angle</t>
        </is>
      </c>
      <c r="D27" s="14" t="n">
        <v>1</v>
      </c>
      <c r="E27" s="13" t="inlineStr">
        <is>
          <t>J1 (vehicle I/F)</t>
        </is>
      </c>
      <c r="F27" s="15" t="inlineStr">
        <is>
          <t>not carried</t>
        </is>
      </c>
      <c r="G27" s="16" t="inlineStr">
        <is>
          <t>1-967658-1</t>
        </is>
      </c>
      <c r="H27" s="16" t="inlineStr">
        <is>
          <t>1-967658-1</t>
        </is>
      </c>
      <c r="I27" s="16" t="inlineStr">
        <is>
          <t>DigiKey Marketplace</t>
        </is>
      </c>
      <c r="J27" s="19" t="inlineStr">
        <is>
          <t>* The hardest part to obtain. DigiKey sells it through a third party. Confirm stock before ordering</t>
        </is>
      </c>
      <c r="K27" s="11" t="n"/>
    </row>
    <row r="28">
      <c r="A28" s="5" t="inlineStr">
        <is>
          <t>Connector</t>
        </is>
      </c>
      <c r="B28" s="6" t="inlineStr">
        <is>
          <t>DM3AT-SF-PEJM5 (microSD)</t>
        </is>
      </c>
      <c r="C28" s="6" t="inlineStr">
        <is>
          <t>SMD right angle</t>
        </is>
      </c>
      <c r="D28" s="7" t="n">
        <v>1</v>
      </c>
      <c r="E28" s="6" t="inlineStr">
        <is>
          <t>J2</t>
        </is>
      </c>
      <c r="F28" s="20" t="inlineStr">
        <is>
          <t>not carried</t>
        </is>
      </c>
      <c r="G28" s="8" t="inlineStr">
        <is>
          <t>Hirose DM3AT-SF-PEJM5</t>
        </is>
      </c>
      <c r="H28" s="8" t="inlineStr">
        <is>
          <t>DM3AT-SF-PEJM5</t>
        </is>
      </c>
      <c r="I28" s="8" t="inlineStr">
        <is>
          <t>DM3AT-SF-PEJM5</t>
        </is>
      </c>
      <c r="J28" s="10" t="inlineStr"/>
      <c r="K28" s="11" t="n"/>
    </row>
    <row r="29">
      <c r="A29" s="12" t="inlineStr">
        <is>
          <t>Module</t>
        </is>
      </c>
      <c r="B29" s="13" t="inlineStr">
        <is>
          <t>GT-502MGG-N (GPS)</t>
        </is>
      </c>
      <c r="C29" s="13" t="inlineStr">
        <is>
          <t>5 bare wires</t>
        </is>
      </c>
      <c r="D29" s="14" t="n">
        <v>1</v>
      </c>
      <c r="E29" s="13" t="inlineStr">
        <is>
          <t>J3</t>
        </is>
      </c>
      <c r="F29" s="16" t="inlineStr">
        <is>
          <t>Y3,180 (117980)</t>
        </is>
      </c>
      <c r="G29" s="16" t="inlineStr">
        <is>
          <t>GT-502MGG-N</t>
        </is>
      </c>
      <c r="H29" s="17" t="n"/>
      <c r="I29" s="16" t="inlineStr">
        <is>
          <t>YIC GT-502MGG-N</t>
        </is>
      </c>
      <c r="J29" s="18" t="inlineStr">
        <is>
          <t>Cheapest at Akizuki</t>
        </is>
      </c>
      <c r="K29" s="11" t="n"/>
    </row>
    <row r="30">
      <c r="A30" s="5" t="inlineStr">
        <is>
          <t>Crystal</t>
        </is>
      </c>
      <c r="B30" s="6" t="inlineStr">
        <is>
          <t>16MHz HC-49/S CL=16-20pF</t>
        </is>
      </c>
      <c r="C30" s="6" t="inlineStr">
        <is>
          <t>THT</t>
        </is>
      </c>
      <c r="D30" s="7" t="n">
        <v>1</v>
      </c>
      <c r="E30" s="6" t="inlineStr">
        <is>
          <t>Y1</t>
        </is>
      </c>
      <c r="F30" s="8" t="inlineStr">
        <is>
          <t>CL=20pF (108671)</t>
        </is>
      </c>
      <c r="G30" s="8" t="inlineStr">
        <is>
          <t>16MHz HC-49</t>
        </is>
      </c>
      <c r="H30" s="9" t="n"/>
      <c r="I30" s="9" t="n"/>
      <c r="J30" s="21" t="inlineStr">
        <is>
          <t>* CL=12pF and CL=32pF parts will not do (because C7/C8 are 22pF)</t>
        </is>
      </c>
      <c r="K30" s="11" t="n"/>
    </row>
    <row r="31">
      <c r="A31" s="12" t="inlineStr">
        <is>
          <t>[not in BOM]</t>
        </is>
      </c>
      <c r="B31" s="13" t="inlineStr">
        <is>
          <t>1x20 female pin socket, 2.54mm</t>
        </is>
      </c>
      <c r="C31" s="13" t="inlineStr">
        <is>
          <t>THT</t>
        </is>
      </c>
      <c r="D31" s="14" t="n">
        <v>2</v>
      </c>
      <c r="E31" s="13" t="inlineStr">
        <is>
          <t>the socket for U3</t>
        </is>
      </c>
      <c r="F31" s="16" t="inlineStr">
        <is>
          <t>breakable long pin socket 1x42 (105779)</t>
        </is>
      </c>
      <c r="G31" s="17" t="n"/>
      <c r="H31" s="17" t="n"/>
      <c r="I31" s="17" t="n"/>
      <c r="J31" s="18" t="inlineStr">
        <is>
          <t>The design socket-mounts the Pico, so the board needs these. Cut down the 1x42 strip</t>
        </is>
      </c>
      <c r="K31" s="11" t="n"/>
    </row>
    <row r="32">
      <c r="C32" s="22" t="inlineStr">
        <is>
          <t>Total</t>
        </is>
      </c>
      <c r="D32" s="23">
        <f>SUM(D6:D31)</f>
        <v/>
      </c>
      <c r="E32" s="2" t="inlineStr">
        <is>
          <t>pieces (38 in the BOM + 2 socket strips)</t>
        </is>
      </c>
    </row>
  </sheetData>
  <autoFilter ref="A5:K31"/>
  <hyperlinks>
    <hyperlink xmlns:r="http://schemas.openxmlformats.org/officeDocument/2006/relationships" ref="F6" r:id="rId1"/>
    <hyperlink xmlns:r="http://schemas.openxmlformats.org/officeDocument/2006/relationships" ref="G6" r:id="rId2"/>
    <hyperlink xmlns:r="http://schemas.openxmlformats.org/officeDocument/2006/relationships" ref="G7" r:id="rId3"/>
    <hyperlink xmlns:r="http://schemas.openxmlformats.org/officeDocument/2006/relationships" ref="F8" r:id="rId4"/>
    <hyperlink xmlns:r="http://schemas.openxmlformats.org/officeDocument/2006/relationships" ref="G8" r:id="rId5"/>
    <hyperlink xmlns:r="http://schemas.openxmlformats.org/officeDocument/2006/relationships" ref="F9" r:id="rId6"/>
    <hyperlink xmlns:r="http://schemas.openxmlformats.org/officeDocument/2006/relationships" ref="G9" r:id="rId7"/>
    <hyperlink xmlns:r="http://schemas.openxmlformats.org/officeDocument/2006/relationships" ref="F10" r:id="rId8"/>
    <hyperlink xmlns:r="http://schemas.openxmlformats.org/officeDocument/2006/relationships" ref="G10" r:id="rId9"/>
    <hyperlink xmlns:r="http://schemas.openxmlformats.org/officeDocument/2006/relationships" ref="F11" r:id="rId10"/>
    <hyperlink xmlns:r="http://schemas.openxmlformats.org/officeDocument/2006/relationships" ref="G11" r:id="rId11"/>
    <hyperlink xmlns:r="http://schemas.openxmlformats.org/officeDocument/2006/relationships" ref="F12" r:id="rId12"/>
    <hyperlink xmlns:r="http://schemas.openxmlformats.org/officeDocument/2006/relationships" ref="G12" r:id="rId13"/>
    <hyperlink xmlns:r="http://schemas.openxmlformats.org/officeDocument/2006/relationships" ref="F13" r:id="rId14"/>
    <hyperlink xmlns:r="http://schemas.openxmlformats.org/officeDocument/2006/relationships" ref="G13" r:id="rId15"/>
    <hyperlink xmlns:r="http://schemas.openxmlformats.org/officeDocument/2006/relationships" ref="H13" r:id="rId16"/>
    <hyperlink xmlns:r="http://schemas.openxmlformats.org/officeDocument/2006/relationships" ref="I13" r:id="rId17"/>
    <hyperlink xmlns:r="http://schemas.openxmlformats.org/officeDocument/2006/relationships" ref="G14" r:id="rId18"/>
    <hyperlink xmlns:r="http://schemas.openxmlformats.org/officeDocument/2006/relationships" ref="H14" r:id="rId19"/>
    <hyperlink xmlns:r="http://schemas.openxmlformats.org/officeDocument/2006/relationships" ref="I14" r:id="rId20"/>
    <hyperlink xmlns:r="http://schemas.openxmlformats.org/officeDocument/2006/relationships" ref="G15" r:id="rId21"/>
    <hyperlink xmlns:r="http://schemas.openxmlformats.org/officeDocument/2006/relationships" ref="H15" r:id="rId22"/>
    <hyperlink xmlns:r="http://schemas.openxmlformats.org/officeDocument/2006/relationships" ref="I15" r:id="rId23"/>
    <hyperlink xmlns:r="http://schemas.openxmlformats.org/officeDocument/2006/relationships" ref="F16" r:id="rId24"/>
    <hyperlink xmlns:r="http://schemas.openxmlformats.org/officeDocument/2006/relationships" ref="G17" r:id="rId25"/>
    <hyperlink xmlns:r="http://schemas.openxmlformats.org/officeDocument/2006/relationships" ref="H17" r:id="rId26"/>
    <hyperlink xmlns:r="http://schemas.openxmlformats.org/officeDocument/2006/relationships" ref="I17" r:id="rId27"/>
    <hyperlink xmlns:r="http://schemas.openxmlformats.org/officeDocument/2006/relationships" ref="F18" r:id="rId28"/>
    <hyperlink xmlns:r="http://schemas.openxmlformats.org/officeDocument/2006/relationships" ref="G18" r:id="rId29"/>
    <hyperlink xmlns:r="http://schemas.openxmlformats.org/officeDocument/2006/relationships" ref="H18" r:id="rId30"/>
    <hyperlink xmlns:r="http://schemas.openxmlformats.org/officeDocument/2006/relationships" ref="I18" r:id="rId31"/>
    <hyperlink xmlns:r="http://schemas.openxmlformats.org/officeDocument/2006/relationships" ref="G19" r:id="rId32"/>
    <hyperlink xmlns:r="http://schemas.openxmlformats.org/officeDocument/2006/relationships" ref="H19" r:id="rId33"/>
    <hyperlink xmlns:r="http://schemas.openxmlformats.org/officeDocument/2006/relationships" ref="I19" r:id="rId34"/>
    <hyperlink xmlns:r="http://schemas.openxmlformats.org/officeDocument/2006/relationships" ref="G20" r:id="rId35"/>
    <hyperlink xmlns:r="http://schemas.openxmlformats.org/officeDocument/2006/relationships" ref="H20" r:id="rId36"/>
    <hyperlink xmlns:r="http://schemas.openxmlformats.org/officeDocument/2006/relationships" ref="I20" r:id="rId37"/>
    <hyperlink xmlns:r="http://schemas.openxmlformats.org/officeDocument/2006/relationships" ref="G21" r:id="rId38"/>
    <hyperlink xmlns:r="http://schemas.openxmlformats.org/officeDocument/2006/relationships" ref="H21" r:id="rId39"/>
    <hyperlink xmlns:r="http://schemas.openxmlformats.org/officeDocument/2006/relationships" ref="G22" r:id="rId40"/>
    <hyperlink xmlns:r="http://schemas.openxmlformats.org/officeDocument/2006/relationships" ref="H22" r:id="rId41"/>
    <hyperlink xmlns:r="http://schemas.openxmlformats.org/officeDocument/2006/relationships" ref="G23" r:id="rId42"/>
    <hyperlink xmlns:r="http://schemas.openxmlformats.org/officeDocument/2006/relationships" ref="H23" r:id="rId43"/>
    <hyperlink xmlns:r="http://schemas.openxmlformats.org/officeDocument/2006/relationships" ref="G24" r:id="rId44"/>
    <hyperlink xmlns:r="http://schemas.openxmlformats.org/officeDocument/2006/relationships" ref="H24" r:id="rId45"/>
    <hyperlink xmlns:r="http://schemas.openxmlformats.org/officeDocument/2006/relationships" ref="F25" r:id="rId46"/>
    <hyperlink xmlns:r="http://schemas.openxmlformats.org/officeDocument/2006/relationships" ref="G25" r:id="rId47"/>
    <hyperlink xmlns:r="http://schemas.openxmlformats.org/officeDocument/2006/relationships" ref="H25" r:id="rId48"/>
    <hyperlink xmlns:r="http://schemas.openxmlformats.org/officeDocument/2006/relationships" ref="I25" r:id="rId49"/>
    <hyperlink xmlns:r="http://schemas.openxmlformats.org/officeDocument/2006/relationships" ref="F26" r:id="rId50"/>
    <hyperlink xmlns:r="http://schemas.openxmlformats.org/officeDocument/2006/relationships" ref="G26" r:id="rId51"/>
    <hyperlink xmlns:r="http://schemas.openxmlformats.org/officeDocument/2006/relationships" ref="G27" r:id="rId52"/>
    <hyperlink xmlns:r="http://schemas.openxmlformats.org/officeDocument/2006/relationships" ref="H27" r:id="rId53"/>
    <hyperlink xmlns:r="http://schemas.openxmlformats.org/officeDocument/2006/relationships" ref="I27" r:id="rId54"/>
    <hyperlink xmlns:r="http://schemas.openxmlformats.org/officeDocument/2006/relationships" ref="G28" r:id="rId55"/>
    <hyperlink xmlns:r="http://schemas.openxmlformats.org/officeDocument/2006/relationships" ref="H28" r:id="rId56"/>
    <hyperlink xmlns:r="http://schemas.openxmlformats.org/officeDocument/2006/relationships" ref="I28" r:id="rId57"/>
    <hyperlink xmlns:r="http://schemas.openxmlformats.org/officeDocument/2006/relationships" ref="F29" r:id="rId58"/>
    <hyperlink xmlns:r="http://schemas.openxmlformats.org/officeDocument/2006/relationships" ref="G29" r:id="rId59"/>
    <hyperlink xmlns:r="http://schemas.openxmlformats.org/officeDocument/2006/relationships" ref="I29" r:id="rId60"/>
    <hyperlink xmlns:r="http://schemas.openxmlformats.org/officeDocument/2006/relationships" ref="F30" r:id="rId61"/>
    <hyperlink xmlns:r="http://schemas.openxmlformats.org/officeDocument/2006/relationships" ref="G30" r:id="rId62"/>
    <hyperlink xmlns:r="http://schemas.openxmlformats.org/officeDocument/2006/relationships" ref="F31" r:id="rId6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
  <sheetViews>
    <sheetView workbookViewId="0">
      <pane ySplit="3" topLeftCell="A4" activePane="bottomLeft" state="frozen"/>
      <selection pane="bottomLeft" activeCell="A1" sqref="A1"/>
    </sheetView>
  </sheetViews>
  <sheetFormatPr baseColWidth="8" defaultRowHeight="15"/>
  <cols>
    <col width="20" customWidth="1" min="1" max="1"/>
    <col width="40" customWidth="1" min="2" max="2"/>
    <col width="96" customWidth="1" min="3" max="3"/>
  </cols>
  <sheetData>
    <row r="1">
      <c r="A1" s="1" t="inlineStr">
        <is>
          <t>Cautions when ordering and assembling</t>
        </is>
      </c>
    </row>
    <row r="3">
      <c r="A3" s="4" t="inlineStr">
        <is>
          <t>Category</t>
        </is>
      </c>
      <c r="B3" s="4" t="inlineStr">
        <is>
          <t>Item</t>
        </is>
      </c>
      <c r="C3" s="4" t="inlineStr">
        <is>
          <t>Details</t>
        </is>
      </c>
    </row>
    <row r="4" ht="46" customHeight="1">
      <c r="A4" s="24" t="inlineStr">
        <is>
          <t>Do not buy</t>
        </is>
      </c>
      <c r="B4" s="25" t="inlineStr">
        <is>
          <t>SS14 for D1/D3</t>
        </is>
      </c>
      <c r="C4" s="26" t="inlineStr">
        <is>
          <t>Akizuki's SS14 (113240) is SMA (DO-214AC). The board land is SOD-123, so it physically will not fit. Buy the 1N5819HW-7-F (40V/1A, SOD-123).</t>
        </is>
      </c>
    </row>
    <row r="5" ht="46" customHeight="1">
      <c r="A5" s="24" t="inlineStr">
        <is>
          <t>Do not buy</t>
        </is>
      </c>
      <c r="B5" s="25" t="inlineStr">
        <is>
          <t>An "F characteristic" 0.1uF for C2-C5/C10/C12</t>
        </is>
      </c>
      <c r="C5" s="26" t="inlineStr">
        <is>
          <t>Akizuki's 0.1uF 50V F characteristic (113374) is the JIS F characteristic, equivalent to Y5V, and moves +22%/-82% over temperature. It cannot be used for decoupling. Choose X7R or X8L.</t>
        </is>
      </c>
    </row>
    <row r="6" ht="46" customHeight="1">
      <c r="A6" s="24" t="inlineStr">
        <is>
          <t>Do not buy</t>
        </is>
      </c>
      <c r="B6" s="25" t="inlineStr">
        <is>
          <t>A 6V or 8V part for F1</t>
        </is>
      </c>
      <c r="C6" s="26" t="inlineStr">
        <is>
          <t>The 1206L110 family also comes in 6V (1206L110SLYR) and 8V (1206L110THYR). Those cannot be used in a 12V vehicle. Specify the 1206L110/16WR. Akizuki's PICOSMDC110S-2 is 6V too.</t>
        </is>
      </c>
    </row>
    <row r="7" ht="46" customHeight="1">
      <c r="A7" s="27" t="inlineStr">
        <is>
          <t>Specification call</t>
        </is>
      </c>
      <c r="B7" s="25" t="inlineStr">
        <is>
          <t>F1's 16V rating is accepted</t>
        </is>
      </c>
      <c r="C7" s="26" t="inlineStr">
        <is>
          <t>For a 1206 PPTC with 1.1A hold, 16V is the ceiling. On top of that F1 is upstream of D2 (the TVS) (J1.8 -&gt; F1 -&gt; D1 -&gt; D2), making it the only part that takes vehicle-side surges without them being clamped. A 24V/30V part would need a larger size such as 1812 and therefore a board change, so by the user's decision it stays at 16V (2026-07-31).</t>
        </is>
      </c>
    </row>
    <row r="8" ht="46" customHeight="1">
      <c r="A8" s="27" t="inlineStr">
        <is>
          <t>v3 change</t>
        </is>
      </c>
      <c r="B8" s="25" t="inlineStr">
        <is>
          <t>C13 (10uF/25V) and R15 (10k) were added</t>
        </is>
      </c>
      <c r="C8" s="26" t="inlineStr">
        <is>
          <t>v3 (2026-08-09) added the IGN OFF delay. C13 goes across Q2's gate and source and must be rated 25V or more; R15 is for IG sensing from Q1's base to GP28. That makes three 10uF parts and seven 10kOhm parts.</t>
        </is>
      </c>
    </row>
    <row r="9" ht="46" customHeight="1">
      <c r="A9" s="27" t="inlineStr">
        <is>
          <t>v2 change</t>
        </is>
      </c>
      <c r="B9" s="25" t="inlineStr">
        <is>
          <t>R5, D4 and C12 need not be bought</t>
        </is>
      </c>
      <c r="C9" s="26" t="inlineStr">
        <is>
          <t>v2 (2026-08-08) retired IG voltage sensing and removed R5 (one 10k), D4 (a 3.3V zener) and C12 (one 100nF). That brings 10kOhm down to six and 100nF down to five.</t>
        </is>
      </c>
    </row>
    <row r="10" ht="46" customHeight="1">
      <c r="A10" s="27" t="inlineStr">
        <is>
          <t>Specification call</t>
        </is>
      </c>
      <c r="B10" s="25" t="inlineStr">
        <is>
          <t>Y1's load capacitance</t>
        </is>
      </c>
      <c r="C10" s="26" t="inlineStr">
        <is>
          <t>C7/C8 are 22pF, so choose a crystal with a load capacitance CL of 16-20pF. Akizuki's 108671 is CL=20pF and fits. CL=12pF and CL=32pF parts will not do.</t>
        </is>
      </c>
    </row>
    <row r="11" ht="46" customHeight="1">
      <c r="A11" s="27" t="inlineStr">
        <is>
          <t>Availability</t>
        </is>
      </c>
      <c r="B11" s="25" t="inlineStr">
        <is>
          <t>J1 (the MQS connector) is the hardest</t>
        </is>
      </c>
      <c r="C11" s="26" t="inlineStr">
        <is>
          <t>DigiKey handles it through the Marketplace (a third-party seller), so stock and lead time differ from normal stock items. It is worth searching the part number at Marutsu and RS Components too. There is no substitute for this part, so always confirm stock before ordering.</t>
        </is>
      </c>
    </row>
    <row r="12" ht="46" customHeight="1">
      <c r="A12" s="27" t="inlineStr">
        <is>
          <t>Availability</t>
        </is>
      </c>
      <c r="B12" s="25" t="inlineStr">
        <is>
          <t>Parts only available from Akizuki</t>
        </is>
      </c>
      <c r="C12" s="26" t="inlineStr">
        <is>
          <t>D6 (the LP812-010(T) side-view LED) is a KODENSHI part for the Japanese market with no overseas distribution. J3 (the GT-502MGG-N) is on DigiKey too, but Akizuki is cheapest (Y3,180).</t>
        </is>
      </c>
    </row>
    <row r="13" ht="46" customHeight="1">
      <c r="A13" s="27" t="inlineStr">
        <is>
          <t>Availability</t>
        </is>
      </c>
      <c r="B13" s="25" t="inlineStr">
        <is>
          <t>Akizuki's 1608 resistors come in few small packs</t>
        </is>
      </c>
      <c r="C13" s="26" t="inlineStr">
        <is>
          <t>10kOhm (130355) and 100kOhm (130357) come as packs of 100 for Y150, but 22kOhm, 120Ohm and 1kOhm only come as reels of 5000 (Y980). For those three it is more realistic to buy singles from Marutsu.</t>
        </is>
      </c>
    </row>
    <row r="14" ht="46" customHeight="1">
      <c r="A14" s="27" t="inlineStr">
        <is>
          <t>Hand soldering</t>
        </is>
      </c>
      <c r="B14" s="25" t="inlineStr">
        <is>
          <t>U2 MCP25625 (SSOP-28, 0.65mm pitch)</t>
        </is>
      </c>
      <c r="C14" s="26" t="inlineStr">
        <is>
          <t>The hardest. Flux and drag soldering are recommended.</t>
        </is>
      </c>
    </row>
    <row r="15" ht="46" customHeight="1">
      <c r="A15" s="27" t="inlineStr">
        <is>
          <t>Hand soldering</t>
        </is>
      </c>
      <c r="B15" s="25" t="inlineStr">
        <is>
          <t>J2 microSD connector</t>
        </is>
      </c>
      <c r="C15" s="26" t="inlineStr">
        <is>
          <t>Fine terminals, and the shell legs have a large thermal mass.</t>
        </is>
      </c>
    </row>
    <row r="16" ht="46" customHeight="1">
      <c r="A16" s="27" t="inlineStr">
        <is>
          <t>Hand soldering</t>
        </is>
      </c>
      <c r="B16" s="25" t="inlineStr">
        <is>
          <t>D6 side-view LED</t>
        </is>
      </c>
      <c r="C16" s="26" t="inlineStr">
        <is>
          <t>Positioning is critical because it sits on the board edge (y=61).</t>
        </is>
      </c>
    </row>
    <row r="17" ht="46" customHeight="1">
      <c r="A17" s="27" t="inlineStr">
        <is>
          <t>v2 change</t>
        </is>
      </c>
      <c r="B17" s="25" t="inlineStr">
        <is>
          <t>GND pads now use thermal relief</t>
        </is>
      </c>
      <c r="C17" s="26" t="inlineStr">
        <is>
          <t>v2 changed every zone to thermal relief (spoke 0.4mm / gap 0.3mm). The direct pour connection of v1 (where the GND pins alone sank an absurd amount of heat) is resolved, and a normal iron tip temperature works.</t>
        </is>
      </c>
    </row>
    <row r="18" ht="46" customHeight="1">
      <c r="A18" s="27" t="inlineStr">
        <is>
          <t>Not in the BOM</t>
        </is>
      </c>
      <c r="B18" s="25" t="inlineStr">
        <is>
          <t>The Pico needs sockets</t>
        </is>
      </c>
      <c r="C18" s="26" t="inlineStr">
        <is>
          <t>The design socket-mounts the Pico, so the board needs two 1x20 female pin sockets. Cut down a breakable long pin socket 1x42 (105779). Male headers on the Pico side are not needed if you buy the Pico 2 H (130982), which has them fitted.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2026-10-20T09:52:10Z</dcterms:created>
  <dcterms:modified xmlns:dcterms="http://purl.org/dc/terms/" xmlns:xsi="http://www.w3.org/2001/XMLSchema-instance" xsi:type="dcterms:W3CDTF">2026-10-20T09:52:10Z</dcterms:modified>
</cp:coreProperties>
</file>