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購入先一覧" sheetId="1" state="visible" r:id="rId3"/>
    <sheet name="注意事項" sheetId="2" state="visible" r:id="rId4"/>
  </sheets>
  <definedNames>
    <definedName function="false" hidden="true" localSheetId="0" name="_xlnm._FilterDatabase" vbProcedure="false">購入先一覧!$A$5:$K$31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<sst xmlns="http://schemas.openxmlformats.org/spreadsheetml/2006/main" count="264" uniqueCount="208">
  <si>
    <r>
      <rPr>
        <b val="true"/>
        <sz val="14"/>
        <rFont val="Arial"/>
        <family val="0"/>
        <charset val="1"/>
      </rPr>
      <t xml:space="preserve">MotoRecoPico </t>
    </r>
    <r>
      <rPr>
        <b val="true"/>
        <sz val="14"/>
        <rFont val="Noto Sans JP"/>
        <family val="2"/>
        <charset val="128"/>
      </rPr>
      <t xml:space="preserve">部品購入先一覧</t>
    </r>
  </si>
  <si>
    <r>
      <rPr>
        <i val="true"/>
        <sz val="9"/>
        <color rgb="FF555555"/>
        <rFont val="Noto Sans JP"/>
        <family val="2"/>
        <charset val="128"/>
      </rPr>
      <t xml:space="preserve">全</t>
    </r>
    <r>
      <rPr>
        <i val="true"/>
        <sz val="9"/>
        <color rgb="FF555555"/>
        <rFont val="Arial"/>
        <family val="0"/>
        <charset val="1"/>
      </rPr>
      <t xml:space="preserve">41</t>
    </r>
    <r>
      <rPr>
        <i val="true"/>
        <sz val="9"/>
        <color rgb="FF555555"/>
        <rFont val="Noto Sans JP"/>
        <family val="2"/>
        <charset val="128"/>
      </rPr>
      <t xml:space="preserve">点（</t>
    </r>
    <r>
      <rPr>
        <i val="true"/>
        <sz val="9"/>
        <color rgb="FF555555"/>
        <rFont val="Arial"/>
        <family val="0"/>
        <charset val="1"/>
      </rPr>
      <t xml:space="preserve">v4: 5V</t>
    </r>
    <r>
      <rPr>
        <i val="true"/>
        <sz val="9"/>
        <color rgb="FF555555"/>
        <rFont val="Noto Sans JP"/>
        <family val="2"/>
        <charset val="128"/>
      </rPr>
      <t xml:space="preserve">電源を</t>
    </r>
    <r>
      <rPr>
        <i val="true"/>
        <sz val="9"/>
        <color rgb="FF555555"/>
        <rFont val="Arial"/>
        <family val="0"/>
        <charset val="1"/>
      </rPr>
      <t xml:space="preserve">AP63205</t>
    </r>
    <r>
      <rPr>
        <i val="true"/>
        <sz val="9"/>
        <color rgb="FF555555"/>
        <rFont val="Noto Sans JP"/>
        <family val="2"/>
        <charset val="128"/>
      </rPr>
      <t xml:space="preserve">化）を値でまとめて</t>
    </r>
    <r>
      <rPr>
        <i val="true"/>
        <sz val="9"/>
        <color rgb="FF555555"/>
        <rFont val="Arial"/>
        <family val="0"/>
        <charset val="1"/>
      </rPr>
      <t xml:space="preserve">25</t>
    </r>
    <r>
      <rPr>
        <i val="true"/>
        <sz val="9"/>
        <color rgb="FF555555"/>
        <rFont val="Noto Sans JP"/>
        <family val="2"/>
        <charset val="128"/>
      </rPr>
      <t xml:space="preserve">品目＋ソケット。リンクは実在を確認したページのみ。空欄＝そのベンダーで確認できなかった（無いとは限らない）。</t>
    </r>
  </si>
  <si>
    <r>
      <rPr>
        <b val="true"/>
        <sz val="9"/>
        <color rgb="FF1F4E79"/>
        <rFont val="Noto Sans JP"/>
        <family val="2"/>
        <charset val="128"/>
      </rPr>
      <t xml:space="preserve">マルツは </t>
    </r>
    <r>
      <rPr>
        <b val="true"/>
        <sz val="9"/>
        <color rgb="FF1F4E79"/>
        <rFont val="Arial"/>
        <family val="0"/>
        <charset val="1"/>
      </rPr>
      <t xml:space="preserve">DigiKey </t>
    </r>
    <r>
      <rPr>
        <b val="true"/>
        <sz val="9"/>
        <color rgb="FF1F4E79"/>
        <rFont val="Noto Sans JP"/>
        <family val="2"/>
        <charset val="128"/>
      </rPr>
      <t xml:space="preserve">の国内唯一の正規代理店。</t>
    </r>
    <r>
      <rPr>
        <b val="true"/>
        <sz val="9"/>
        <color rgb="FF1F4E79"/>
        <rFont val="Arial"/>
        <family val="0"/>
        <charset val="1"/>
      </rPr>
      <t xml:space="preserve">DigiKey </t>
    </r>
    <r>
      <rPr>
        <b val="true"/>
        <sz val="9"/>
        <color rgb="FF1F4E79"/>
        <rFont val="Noto Sans JP"/>
        <family val="2"/>
        <charset val="128"/>
      </rPr>
      <t xml:space="preserve">全品を</t>
    </r>
    <r>
      <rPr>
        <b val="true"/>
        <sz val="9"/>
        <color rgb="FF1F4E79"/>
        <rFont val="Arial"/>
        <family val="0"/>
        <charset val="1"/>
      </rPr>
      <t xml:space="preserve">1</t>
    </r>
    <r>
      <rPr>
        <b val="true"/>
        <sz val="9"/>
        <color rgb="FF1F4E79"/>
        <rFont val="Noto Sans JP"/>
        <family val="2"/>
        <charset val="128"/>
      </rPr>
      <t xml:space="preserve">個から同価格で買え、送料は全国一律 </t>
    </r>
    <r>
      <rPr>
        <b val="true"/>
        <sz val="9"/>
        <color rgb="FF1F4E79"/>
        <rFont val="Arial"/>
        <family val="0"/>
        <charset val="1"/>
      </rPr>
      <t xml:space="preserve">¥240</t>
    </r>
    <r>
      <rPr>
        <b val="true"/>
        <sz val="9"/>
        <color rgb="FF1F4E79"/>
        <rFont val="Noto Sans JP"/>
        <family val="2"/>
        <charset val="128"/>
      </rPr>
      <t xml:space="preserve">（</t>
    </r>
    <r>
      <rPr>
        <b val="true"/>
        <sz val="9"/>
        <color rgb="FF1F4E79"/>
        <rFont val="Arial"/>
        <family val="0"/>
        <charset val="1"/>
      </rPr>
      <t xml:space="preserve">¥3,000</t>
    </r>
    <r>
      <rPr>
        <b val="true"/>
        <sz val="9"/>
        <color rgb="FF1F4E79"/>
        <rFont val="Noto Sans JP"/>
        <family val="2"/>
        <charset val="128"/>
      </rPr>
      <t xml:space="preserve">以上で無料）。秋月＋マルツの</t>
    </r>
    <r>
      <rPr>
        <b val="true"/>
        <sz val="9"/>
        <color rgb="FF1F4E79"/>
        <rFont val="Arial"/>
        <family val="0"/>
        <charset val="1"/>
      </rPr>
      <t xml:space="preserve">2</t>
    </r>
    <r>
      <rPr>
        <b val="true"/>
        <sz val="9"/>
        <color rgb="FF1F4E79"/>
        <rFont val="Noto Sans JP"/>
        <family val="2"/>
        <charset val="128"/>
      </rPr>
      <t xml:space="preserve">社で全部揃う。</t>
    </r>
  </si>
  <si>
    <t xml:space="preserve">分類</t>
  </si>
  <si>
    <r>
      <rPr>
        <b val="true"/>
        <sz val="10"/>
        <color rgb="FFFFFFFF"/>
        <rFont val="Noto Sans JP"/>
        <family val="2"/>
        <charset val="128"/>
      </rPr>
      <t xml:space="preserve">型番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JP"/>
        <family val="2"/>
        <charset val="128"/>
      </rPr>
      <t xml:space="preserve">値</t>
    </r>
  </si>
  <si>
    <t xml:space="preserve">パッケージ</t>
  </si>
  <si>
    <t xml:space="preserve">数量</t>
  </si>
  <si>
    <t xml:space="preserve">使用箇所</t>
  </si>
  <si>
    <t xml:space="preserve">秋月電子</t>
  </si>
  <si>
    <t xml:space="preserve">マルツ</t>
  </si>
  <si>
    <t xml:space="preserve">Mouser</t>
  </si>
  <si>
    <t xml:space="preserve">DigiKey</t>
  </si>
  <si>
    <t xml:space="preserve">備考</t>
  </si>
  <si>
    <t xml:space="preserve">発注済</t>
  </si>
  <si>
    <t xml:space="preserve">抵抗</t>
  </si>
  <si>
    <t xml:space="preserve">100kΩ 1/10W</t>
  </si>
  <si>
    <t xml:space="preserve">1608 (0603)</t>
  </si>
  <si>
    <t xml:space="preserve">R1, R2, R3</t>
  </si>
  <si>
    <t xml:space="preserve">100個入 ¥150 (130357)</t>
  </si>
  <si>
    <t xml:space="preserve">RC0603FR-07100KL</t>
  </si>
  <si>
    <t xml:space="preserve">22kΩ 1/10W</t>
  </si>
  <si>
    <t xml:space="preserve">R4</t>
  </si>
  <si>
    <t xml:space="preserve">小分けなし</t>
  </si>
  <si>
    <t xml:space="preserve">RC0603FR-0722KL</t>
  </si>
  <si>
    <r>
      <rPr>
        <sz val="9"/>
        <rFont val="Noto Sans JP"/>
        <family val="2"/>
        <charset val="128"/>
      </rPr>
      <t xml:space="preserve">秋月は</t>
    </r>
    <r>
      <rPr>
        <sz val="9"/>
        <rFont val="Arial"/>
        <family val="0"/>
        <charset val="1"/>
      </rPr>
      <t xml:space="preserve">1608</t>
    </r>
    <r>
      <rPr>
        <sz val="9"/>
        <rFont val="Noto Sans JP"/>
        <family val="2"/>
        <charset val="128"/>
      </rPr>
      <t xml:space="preserve">の</t>
    </r>
    <r>
      <rPr>
        <sz val="9"/>
        <rFont val="Arial"/>
        <family val="0"/>
        <charset val="1"/>
      </rPr>
      <t xml:space="preserve">22kΩ</t>
    </r>
    <r>
      <rPr>
        <sz val="9"/>
        <rFont val="Noto Sans JP"/>
        <family val="2"/>
        <charset val="128"/>
      </rPr>
      <t xml:space="preserve">を小分けで扱っていない</t>
    </r>
  </si>
  <si>
    <t xml:space="preserve">10kΩ 1/10W</t>
  </si>
  <si>
    <r>
      <rPr>
        <sz val="9"/>
        <rFont val="Arial"/>
        <family val="0"/>
        <charset val="1"/>
      </rPr>
      <t xml:space="preserve">R6, R7, R10-R13, R15 (IG</t>
    </r>
    <r>
      <rPr>
        <sz val="9"/>
        <rFont val="Noto Sans JP"/>
        <family val="2"/>
        <charset val="128"/>
      </rPr>
      <t xml:space="preserve">検知</t>
    </r>
    <r>
      <rPr>
        <sz val="9"/>
        <rFont val="Arial"/>
        <family val="0"/>
        <charset val="1"/>
      </rPr>
      <t xml:space="preserve">)</t>
    </r>
  </si>
  <si>
    <t xml:space="preserve">100個入 ¥150 (130355)</t>
  </si>
  <si>
    <t xml:space="preserve">RC0603FR-0710KL</t>
  </si>
  <si>
    <t xml:space="preserve">120Ω 1/10W</t>
  </si>
  <si>
    <r>
      <rPr>
        <sz val="9"/>
        <rFont val="Arial"/>
        <family val="0"/>
        <charset val="1"/>
      </rPr>
      <t xml:space="preserve">R8 (CAN</t>
    </r>
    <r>
      <rPr>
        <sz val="9"/>
        <rFont val="Noto Sans JP"/>
        <family val="2"/>
        <charset val="128"/>
      </rPr>
      <t xml:space="preserve">終端</t>
    </r>
    <r>
      <rPr>
        <sz val="9"/>
        <rFont val="Arial"/>
        <family val="0"/>
        <charset val="1"/>
      </rPr>
      <t xml:space="preserve">)</t>
    </r>
  </si>
  <si>
    <t xml:space="preserve">5000個リール ¥980 (130332)</t>
  </si>
  <si>
    <t xml:space="preserve">RC0603FR-07120RL</t>
  </si>
  <si>
    <r>
      <rPr>
        <sz val="9"/>
        <rFont val="Noto Sans JP"/>
        <family val="2"/>
        <charset val="128"/>
      </rPr>
      <t xml:space="preserve">秋月はリールのみ。</t>
    </r>
    <r>
      <rPr>
        <sz val="9"/>
        <rFont val="Arial"/>
        <family val="0"/>
        <charset val="1"/>
      </rPr>
      <t xml:space="preserve">1</t>
    </r>
    <r>
      <rPr>
        <sz val="9"/>
        <rFont val="Noto Sans JP"/>
        <family val="2"/>
        <charset val="128"/>
      </rPr>
      <t xml:space="preserve">本だけ要るのでマルツ推奨</t>
    </r>
  </si>
  <si>
    <t xml:space="preserve">1kΩ 1/10W</t>
  </si>
  <si>
    <t xml:space="preserve">R14</t>
  </si>
  <si>
    <t xml:space="preserve">5000個リール ¥980 (114122)</t>
  </si>
  <si>
    <t xml:space="preserve">RC0603FR-071KL</t>
  </si>
  <si>
    <t xml:space="preserve">コンデンサ</t>
  </si>
  <si>
    <r>
      <rPr>
        <sz val="9"/>
        <rFont val="Arial"/>
        <family val="0"/>
        <charset val="1"/>
      </rPr>
      <t xml:space="preserve">100nF / 50V</t>
    </r>
    <r>
      <rPr>
        <sz val="9"/>
        <rFont val="Noto Sans JP"/>
        <family val="2"/>
        <charset val="128"/>
      </rPr>
      <t xml:space="preserve">以上 </t>
    </r>
    <r>
      <rPr>
        <sz val="9"/>
        <rFont val="Arial"/>
        <family val="0"/>
        <charset val="1"/>
      </rPr>
      <t xml:space="preserve">X7R</t>
    </r>
  </si>
  <si>
    <t xml:space="preserve">C2-C5, C10</t>
  </si>
  <si>
    <t xml:space="preserve">0.1µF 100V X7R (114559)</t>
  </si>
  <si>
    <t xml:space="preserve">CC0603KRX7R9BB104</t>
  </si>
  <si>
    <r>
      <rPr>
        <sz val="9"/>
        <color rgb="FFC00000"/>
        <rFont val="Arial"/>
        <family val="0"/>
        <charset val="1"/>
      </rPr>
      <t xml:space="preserve">★F</t>
    </r>
    <r>
      <rPr>
        <sz val="9"/>
        <color rgb="FFC00000"/>
        <rFont val="Noto Sans JP"/>
        <family val="2"/>
        <charset val="128"/>
      </rPr>
      <t xml:space="preserve">特性</t>
    </r>
    <r>
      <rPr>
        <sz val="9"/>
        <color rgb="FFC00000"/>
        <rFont val="Arial"/>
        <family val="0"/>
        <charset val="1"/>
      </rPr>
      <t xml:space="preserve">(113374)</t>
    </r>
    <r>
      <rPr>
        <sz val="9"/>
        <color rgb="FFC00000"/>
        <rFont val="Noto Sans JP"/>
        <family val="2"/>
        <charset val="128"/>
      </rPr>
      <t xml:space="preserve">は買わないこと。</t>
    </r>
    <r>
      <rPr>
        <sz val="9"/>
        <color rgb="FFC00000"/>
        <rFont val="Arial"/>
        <family val="0"/>
        <charset val="1"/>
      </rPr>
      <t xml:space="preserve">Y5V</t>
    </r>
    <r>
      <rPr>
        <sz val="9"/>
        <color rgb="FFC00000"/>
        <rFont val="Noto Sans JP"/>
        <family val="2"/>
        <charset val="128"/>
      </rPr>
      <t xml:space="preserve">相当で</t>
    </r>
    <r>
      <rPr>
        <sz val="9"/>
        <color rgb="FFC00000"/>
        <rFont val="Arial"/>
        <family val="0"/>
        <charset val="1"/>
      </rPr>
      <t xml:space="preserve">-82%</t>
    </r>
    <r>
      <rPr>
        <sz val="9"/>
        <color rgb="FFC00000"/>
        <rFont val="Noto Sans JP"/>
        <family val="2"/>
        <charset val="128"/>
      </rPr>
      <t xml:space="preserve">変動する</t>
    </r>
  </si>
  <si>
    <t xml:space="preserve">22pF / 50V C0G(NP0)</t>
  </si>
  <si>
    <r>
      <rPr>
        <sz val="9"/>
        <rFont val="Arial"/>
        <family val="0"/>
        <charset val="1"/>
      </rPr>
      <t xml:space="preserve">C7, C8 (</t>
    </r>
    <r>
      <rPr>
        <sz val="9"/>
        <rFont val="Noto Sans JP"/>
        <family val="2"/>
        <charset val="128"/>
      </rPr>
      <t xml:space="preserve">水晶負荷</t>
    </r>
    <r>
      <rPr>
        <sz val="9"/>
        <rFont val="Arial"/>
        <family val="0"/>
        <charset val="1"/>
      </rPr>
      <t xml:space="preserve">)</t>
    </r>
  </si>
  <si>
    <t xml:space="preserve">40個入 ¥100 (P-11626)</t>
  </si>
  <si>
    <t xml:space="preserve">CC0603JRNPO9BN220</t>
  </si>
  <si>
    <t xml:space="preserve">調査時点で秋月は在庫切れ表示</t>
  </si>
  <si>
    <r>
      <rPr>
        <sz val="9"/>
        <rFont val="Arial"/>
        <family val="0"/>
        <charset val="1"/>
      </rPr>
      <t xml:space="preserve">10µF / 25V</t>
    </r>
    <r>
      <rPr>
        <sz val="9"/>
        <rFont val="Noto Sans JP"/>
        <family val="2"/>
        <charset val="128"/>
      </rPr>
      <t xml:space="preserve">以上</t>
    </r>
  </si>
  <si>
    <r>
      <rPr>
        <sz val="9"/>
        <rFont val="Arial"/>
        <family val="0"/>
        <charset val="1"/>
      </rPr>
      <t xml:space="preserve">C6, C11, C13 (Q2</t>
    </r>
    <r>
      <rPr>
        <sz val="9"/>
        <rFont val="Noto Sans JP"/>
        <family val="2"/>
        <charset val="128"/>
      </rPr>
      <t xml:space="preserve">ゲート遅延</t>
    </r>
    <r>
      <rPr>
        <sz val="9"/>
        <rFont val="Arial"/>
        <family val="0"/>
        <charset val="1"/>
      </rPr>
      <t xml:space="preserve">)</t>
    </r>
  </si>
  <si>
    <t xml:space="preserve">35V (113161) / 16V (117202)</t>
  </si>
  <si>
    <t xml:space="preserve">GRM188R61E106KA73D</t>
  </si>
  <si>
    <r>
      <rPr>
        <sz val="9"/>
        <rFont val="Arial"/>
        <family val="0"/>
        <charset val="1"/>
      </rPr>
      <t xml:space="preserve">C13</t>
    </r>
    <r>
      <rPr>
        <sz val="9"/>
        <rFont val="Noto Sans JP"/>
        <family val="2"/>
        <charset val="128"/>
      </rPr>
      <t xml:space="preserve">はロードダンプ時に約</t>
    </r>
    <r>
      <rPr>
        <sz val="9"/>
        <rFont val="Arial"/>
        <family val="0"/>
        <charset val="1"/>
      </rPr>
      <t xml:space="preserve">13V</t>
    </r>
    <r>
      <rPr>
        <sz val="9"/>
        <rFont val="Noto Sans JP"/>
        <family val="2"/>
        <charset val="128"/>
      </rPr>
      <t xml:space="preserve">かかるため</t>
    </r>
    <r>
      <rPr>
        <sz val="9"/>
        <rFont val="Arial"/>
        <family val="0"/>
        <charset val="1"/>
      </rPr>
      <t xml:space="preserve">25V</t>
    </r>
    <r>
      <rPr>
        <sz val="9"/>
        <rFont val="Noto Sans JP"/>
        <family val="2"/>
        <charset val="128"/>
      </rPr>
      <t xml:space="preserve">以上必須。</t>
    </r>
    <r>
      <rPr>
        <sz val="9"/>
        <rFont val="Arial"/>
        <family val="0"/>
        <charset val="1"/>
      </rPr>
      <t xml:space="preserve">3</t>
    </r>
    <r>
      <rPr>
        <sz val="9"/>
        <rFont val="Noto Sans JP"/>
        <family val="2"/>
        <charset val="128"/>
      </rPr>
      <t xml:space="preserve">点とも</t>
    </r>
    <r>
      <rPr>
        <sz val="9"/>
        <rFont val="Arial"/>
        <family val="0"/>
        <charset val="1"/>
      </rPr>
      <t xml:space="preserve">25V/35V</t>
    </r>
    <r>
      <rPr>
        <sz val="9"/>
        <rFont val="Noto Sans JP"/>
        <family val="2"/>
        <charset val="128"/>
      </rPr>
      <t xml:space="preserve">品で統一が楽</t>
    </r>
  </si>
  <si>
    <t xml:space="preserve">ダイオード</t>
  </si>
  <si>
    <r>
      <rPr>
        <sz val="9"/>
        <rFont val="Arial"/>
        <family val="0"/>
        <charset val="1"/>
      </rPr>
      <t xml:space="preserve">B5819W (40V/1A </t>
    </r>
    <r>
      <rPr>
        <sz val="9"/>
        <rFont val="Noto Sans JP"/>
        <family val="2"/>
        <charset val="128"/>
      </rPr>
      <t xml:space="preserve">ショットキー</t>
    </r>
    <r>
      <rPr>
        <sz val="9"/>
        <rFont val="Arial"/>
        <family val="0"/>
        <charset val="1"/>
      </rPr>
      <t xml:space="preserve">)</t>
    </r>
  </si>
  <si>
    <t xml:space="preserve">SOD-123</t>
  </si>
  <si>
    <t xml:space="preserve">D1, D3</t>
  </si>
  <si>
    <t xml:space="preserve">取扱いなし</t>
  </si>
  <si>
    <t xml:space="preserve">1N5819HW-7-F</t>
  </si>
  <si>
    <r>
      <rPr>
        <sz val="9"/>
        <color rgb="FFC00000"/>
        <rFont val="Noto Sans JP"/>
        <family val="2"/>
        <charset val="128"/>
      </rPr>
      <t xml:space="preserve">★秋月の</t>
    </r>
    <r>
      <rPr>
        <sz val="9"/>
        <color rgb="FFC00000"/>
        <rFont val="Arial"/>
        <family val="0"/>
        <charset val="1"/>
      </rPr>
      <t xml:space="preserve">SS14</t>
    </r>
    <r>
      <rPr>
        <sz val="9"/>
        <color rgb="FFC00000"/>
        <rFont val="Noto Sans JP"/>
        <family val="2"/>
        <charset val="128"/>
      </rPr>
      <t xml:space="preserve">は</t>
    </r>
    <r>
      <rPr>
        <sz val="9"/>
        <color rgb="FFC00000"/>
        <rFont val="Arial"/>
        <family val="0"/>
        <charset val="1"/>
      </rPr>
      <t xml:space="preserve">SMA</t>
    </r>
    <r>
      <rPr>
        <sz val="9"/>
        <color rgb="FFC00000"/>
        <rFont val="Noto Sans JP"/>
        <family val="2"/>
        <charset val="128"/>
      </rPr>
      <t xml:space="preserve">パッケージで載らない</t>
    </r>
  </si>
  <si>
    <t xml:space="preserve">SMAJ16A (TVS 400W)</t>
  </si>
  <si>
    <t xml:space="preserve">SMA (DO-214AC)</t>
  </si>
  <si>
    <t xml:space="preserve">D2</t>
  </si>
  <si>
    <t xml:space="preserve">Littelfuse SMAJ16A</t>
  </si>
  <si>
    <t xml:space="preserve">SMAJ16A</t>
  </si>
  <si>
    <t xml:space="preserve">LED</t>
  </si>
  <si>
    <r>
      <rPr>
        <sz val="9"/>
        <rFont val="Arial"/>
        <family val="0"/>
        <charset val="1"/>
      </rPr>
      <t xml:space="preserve">LP812-010(T) </t>
    </r>
    <r>
      <rPr>
        <sz val="9"/>
        <rFont val="Noto Sans JP"/>
        <family val="2"/>
        <charset val="128"/>
      </rPr>
      <t xml:space="preserve">緑 サイドビュー</t>
    </r>
  </si>
  <si>
    <t xml:space="preserve">2.8×1.2mm</t>
  </si>
  <si>
    <t xml:space="preserve">D6</t>
  </si>
  <si>
    <t xml:space="preserve">10個入 ¥100 (116854)</t>
  </si>
  <si>
    <t xml:space="preserve">★秋月でしか買えない</t>
  </si>
  <si>
    <t xml:space="preserve">回路保護</t>
  </si>
  <si>
    <t xml:space="preserve">PPTC 1.1A hold 16V</t>
  </si>
  <si>
    <t xml:space="preserve">1206</t>
  </si>
  <si>
    <t xml:space="preserve">F1</t>
  </si>
  <si>
    <t xml:space="preserve">1206L110/16WR</t>
  </si>
  <si>
    <r>
      <rPr>
        <sz val="9"/>
        <color rgb="FFC00000"/>
        <rFont val="Arial"/>
        <family val="0"/>
        <charset val="1"/>
      </rPr>
      <t xml:space="preserve">★6V</t>
    </r>
    <r>
      <rPr>
        <sz val="9"/>
        <color rgb="FFC00000"/>
        <rFont val="Noto Sans JP"/>
        <family val="2"/>
        <charset val="128"/>
      </rPr>
      <t xml:space="preserve">品</t>
    </r>
    <r>
      <rPr>
        <sz val="9"/>
        <color rgb="FFC00000"/>
        <rFont val="Arial"/>
        <family val="0"/>
        <charset val="1"/>
      </rPr>
      <t xml:space="preserve">(SLYR)</t>
    </r>
    <r>
      <rPr>
        <sz val="9"/>
        <color rgb="FFC00000"/>
        <rFont val="Noto Sans JP"/>
        <family val="2"/>
        <charset val="128"/>
      </rPr>
      <t xml:space="preserve">・</t>
    </r>
    <r>
      <rPr>
        <sz val="9"/>
        <color rgb="FFC00000"/>
        <rFont val="Arial"/>
        <family val="0"/>
        <charset val="1"/>
      </rPr>
      <t xml:space="preserve">8V</t>
    </r>
    <r>
      <rPr>
        <sz val="9"/>
        <color rgb="FFC00000"/>
        <rFont val="Noto Sans JP"/>
        <family val="2"/>
        <charset val="128"/>
      </rPr>
      <t xml:space="preserve">品</t>
    </r>
    <r>
      <rPr>
        <sz val="9"/>
        <color rgb="FFC00000"/>
        <rFont val="Arial"/>
        <family val="0"/>
        <charset val="1"/>
      </rPr>
      <t xml:space="preserve">(THYR)</t>
    </r>
    <r>
      <rPr>
        <sz val="9"/>
        <color rgb="FFC00000"/>
        <rFont val="Noto Sans JP"/>
        <family val="2"/>
        <charset val="128"/>
      </rPr>
      <t xml:space="preserve">と間違えないこと</t>
    </r>
  </si>
  <si>
    <t xml:space="preserve">トランジスタ</t>
  </si>
  <si>
    <t xml:space="preserve">MMBT3904 (NPN)</t>
  </si>
  <si>
    <t xml:space="preserve">SOT-23</t>
  </si>
  <si>
    <t xml:space="preserve">Q1</t>
  </si>
  <si>
    <t xml:space="preserve">20個入 ¥100 (105969)</t>
  </si>
  <si>
    <t xml:space="preserve">MMBT3904</t>
  </si>
  <si>
    <t xml:space="preserve">onsemi MMBT3904</t>
  </si>
  <si>
    <t xml:space="preserve">MOSFET</t>
  </si>
  <si>
    <t xml:space="preserve">ZXMP6A17E6Q (Pch -60V)</t>
  </si>
  <si>
    <t xml:space="preserve">SOT-23-6</t>
  </si>
  <si>
    <r>
      <rPr>
        <sz val="9"/>
        <rFont val="Arial"/>
        <family val="0"/>
        <charset val="1"/>
      </rPr>
      <t xml:space="preserve">Q2 (</t>
    </r>
    <r>
      <rPr>
        <sz val="9"/>
        <rFont val="Noto Sans JP"/>
        <family val="2"/>
        <charset val="128"/>
      </rPr>
      <t xml:space="preserve">高側</t>
    </r>
    <r>
      <rPr>
        <sz val="9"/>
        <rFont val="Arial"/>
        <family val="0"/>
        <charset val="1"/>
      </rPr>
      <t xml:space="preserve">SW)</t>
    </r>
  </si>
  <si>
    <t xml:space="preserve">ZXMP6A17E6QTA</t>
  </si>
  <si>
    <r>
      <rPr>
        <b val="true"/>
        <sz val="9"/>
        <rFont val="Noto Sans JP"/>
        <family val="2"/>
        <charset val="128"/>
      </rPr>
      <t xml:space="preserve">電源</t>
    </r>
    <r>
      <rPr>
        <b val="true"/>
        <sz val="9"/>
        <rFont val="Arial"/>
        <family val="0"/>
        <charset val="1"/>
      </rPr>
      <t xml:space="preserve">IC</t>
    </r>
  </si>
  <si>
    <r>
      <rPr>
        <sz val="9"/>
        <rFont val="Arial"/>
        <family val="0"/>
        <charset val="1"/>
      </rPr>
      <t xml:space="preserve">AP63205WU-7 (5V</t>
    </r>
    <r>
      <rPr>
        <sz val="9"/>
        <rFont val="Noto Sans JP"/>
        <family val="2"/>
        <charset val="128"/>
      </rPr>
      <t xml:space="preserve">固定 </t>
    </r>
    <r>
      <rPr>
        <sz val="9"/>
        <rFont val="Arial"/>
        <family val="0"/>
        <charset val="1"/>
      </rPr>
      <t xml:space="preserve">2A </t>
    </r>
    <r>
      <rPr>
        <sz val="9"/>
        <rFont val="Noto Sans JP"/>
        <family val="2"/>
        <charset val="128"/>
      </rPr>
      <t xml:space="preserve">バック</t>
    </r>
    <r>
      <rPr>
        <sz val="9"/>
        <rFont val="Arial"/>
        <family val="0"/>
        <charset val="1"/>
      </rPr>
      <t xml:space="preserve">)</t>
    </r>
  </si>
  <si>
    <t xml:space="preserve">TSOT-26</t>
  </si>
  <si>
    <t xml:space="preserve">U4 (v4)</t>
  </si>
  <si>
    <t xml:space="preserve">AP63205WU-7</t>
  </si>
  <si>
    <r>
      <rPr>
        <sz val="9"/>
        <rFont val="Arial"/>
        <family val="0"/>
        <charset val="1"/>
      </rPr>
      <t xml:space="preserve">v4</t>
    </r>
    <r>
      <rPr>
        <sz val="9"/>
        <rFont val="Noto Sans JP"/>
        <family val="2"/>
        <charset val="128"/>
      </rPr>
      <t xml:space="preserve">で</t>
    </r>
    <r>
      <rPr>
        <sz val="9"/>
        <rFont val="Arial"/>
        <family val="0"/>
        <charset val="1"/>
      </rPr>
      <t xml:space="preserve">M78AR05</t>
    </r>
    <r>
      <rPr>
        <sz val="9"/>
        <rFont val="Noto Sans JP"/>
        <family val="2"/>
        <charset val="128"/>
      </rPr>
      <t xml:space="preserve">を置換。最低入力</t>
    </r>
    <r>
      <rPr>
        <sz val="9"/>
        <rFont val="Arial"/>
        <family val="0"/>
        <charset val="1"/>
      </rPr>
      <t xml:space="preserve">3.8V</t>
    </r>
    <r>
      <rPr>
        <sz val="9"/>
        <rFont val="Noto Sans JP"/>
        <family val="2"/>
        <charset val="128"/>
      </rPr>
      <t xml:space="preserve">でクランキング問題も解消</t>
    </r>
  </si>
  <si>
    <t xml:space="preserve">インダクタ</t>
  </si>
  <si>
    <r>
      <rPr>
        <sz val="9"/>
        <rFont val="Arial"/>
        <family val="0"/>
        <charset val="1"/>
      </rPr>
      <t xml:space="preserve">6.8µH 4030 </t>
    </r>
    <r>
      <rPr>
        <sz val="9"/>
        <rFont val="Noto Sans JP"/>
        <family val="2"/>
        <charset val="128"/>
      </rPr>
      <t xml:space="preserve">飽和≥</t>
    </r>
    <r>
      <rPr>
        <sz val="9"/>
        <rFont val="Arial"/>
        <family val="0"/>
        <charset val="1"/>
      </rPr>
      <t xml:space="preserve">1.5A</t>
    </r>
  </si>
  <si>
    <t xml:space="preserve">4×4×3mm</t>
  </si>
  <si>
    <t xml:space="preserve">L1 (v4)</t>
  </si>
  <si>
    <t xml:space="preserve">ASPI-4030S-6R8M</t>
  </si>
  <si>
    <t xml:space="preserve">ASPI-4030S-6R8M-T</t>
  </si>
  <si>
    <r>
      <rPr>
        <sz val="9"/>
        <rFont val="Noto Sans JP"/>
        <family val="2"/>
        <charset val="128"/>
      </rPr>
      <t xml:space="preserve">シールド品推奨。基板裏面の最背部品</t>
    </r>
    <r>
      <rPr>
        <sz val="9"/>
        <rFont val="Arial"/>
        <family val="0"/>
        <charset val="1"/>
      </rPr>
      <t xml:space="preserve">(3mm)</t>
    </r>
  </si>
  <si>
    <t xml:space="preserve">10µF / 50V X7R</t>
  </si>
  <si>
    <t xml:space="preserve">3216 (1206)</t>
  </si>
  <si>
    <r>
      <rPr>
        <sz val="9"/>
        <rFont val="Arial"/>
        <family val="0"/>
        <charset val="1"/>
      </rPr>
      <t xml:space="preserve">C14 </t>
    </r>
    <r>
      <rPr>
        <sz val="9"/>
        <rFont val="Noto Sans JP"/>
        <family val="2"/>
        <charset val="128"/>
      </rPr>
      <t xml:space="preserve">バック入力 </t>
    </r>
    <r>
      <rPr>
        <sz val="9"/>
        <rFont val="Arial"/>
        <family val="0"/>
        <charset val="1"/>
      </rPr>
      <t xml:space="preserve">(v4)</t>
    </r>
  </si>
  <si>
    <t xml:space="preserve">GRM31CR71H106KA12</t>
  </si>
  <si>
    <t xml:space="preserve">810-CNA5L171H106K160 </t>
  </si>
  <si>
    <r>
      <rPr>
        <sz val="9"/>
        <color rgb="FFC00000"/>
        <rFont val="Noto Sans JP"/>
        <family val="2"/>
        <charset val="128"/>
      </rPr>
      <t xml:space="preserve">★入力はクランプ</t>
    </r>
    <r>
      <rPr>
        <sz val="9"/>
        <color rgb="FFC00000"/>
        <rFont val="Arial"/>
        <family val="0"/>
        <charset val="1"/>
      </rPr>
      <t xml:space="preserve">26V</t>
    </r>
    <r>
      <rPr>
        <sz val="9"/>
        <color rgb="FFC00000"/>
        <rFont val="Noto Sans JP"/>
        <family val="2"/>
        <charset val="128"/>
      </rPr>
      <t xml:space="preserve">を直接見るため</t>
    </r>
    <r>
      <rPr>
        <sz val="9"/>
        <color rgb="FFC00000"/>
        <rFont val="Arial"/>
        <family val="0"/>
        <charset val="1"/>
      </rPr>
      <t xml:space="preserve">50V</t>
    </r>
    <r>
      <rPr>
        <sz val="9"/>
        <color rgb="FFC00000"/>
        <rFont val="Noto Sans JP"/>
        <family val="2"/>
        <charset val="128"/>
      </rPr>
      <t xml:space="preserve">必須。</t>
    </r>
    <r>
      <rPr>
        <sz val="9"/>
        <color rgb="FFC00000"/>
        <rFont val="Arial"/>
        <family val="0"/>
        <charset val="1"/>
      </rPr>
      <t xml:space="preserve">25V</t>
    </r>
    <r>
      <rPr>
        <sz val="9"/>
        <color rgb="FFC00000"/>
        <rFont val="Noto Sans JP"/>
        <family val="2"/>
        <charset val="128"/>
      </rPr>
      <t xml:space="preserve">品不可</t>
    </r>
  </si>
  <si>
    <t xml:space="preserve">22µF / 16V</t>
  </si>
  <si>
    <t xml:space="preserve">2012 (0805)</t>
  </si>
  <si>
    <r>
      <rPr>
        <sz val="9"/>
        <rFont val="Arial"/>
        <family val="0"/>
        <charset val="1"/>
      </rPr>
      <t xml:space="preserve">C15 </t>
    </r>
    <r>
      <rPr>
        <sz val="9"/>
        <rFont val="Noto Sans JP"/>
        <family val="2"/>
        <charset val="128"/>
      </rPr>
      <t xml:space="preserve">バック出力 </t>
    </r>
    <r>
      <rPr>
        <sz val="9"/>
        <rFont val="Arial"/>
        <family val="0"/>
        <charset val="1"/>
      </rPr>
      <t xml:space="preserve">(v4)</t>
    </r>
  </si>
  <si>
    <t xml:space="preserve">GRM21BR61C226ME44</t>
  </si>
  <si>
    <t xml:space="preserve">81-GXT21BR61C226ME3L </t>
  </si>
  <si>
    <t xml:space="preserve">100nF / 50V X7R</t>
  </si>
  <si>
    <r>
      <rPr>
        <sz val="9"/>
        <rFont val="Arial"/>
        <family val="0"/>
        <charset val="1"/>
      </rPr>
      <t xml:space="preserve">C16 </t>
    </r>
    <r>
      <rPr>
        <sz val="9"/>
        <rFont val="Noto Sans JP"/>
        <family val="2"/>
        <charset val="128"/>
      </rPr>
      <t xml:space="preserve">ブートストラップ </t>
    </r>
    <r>
      <rPr>
        <sz val="9"/>
        <rFont val="Arial"/>
        <family val="0"/>
        <charset val="1"/>
      </rPr>
      <t xml:space="preserve">(v4)</t>
    </r>
  </si>
  <si>
    <t xml:space="preserve">0805 100nF 50V</t>
  </si>
  <si>
    <t xml:space="preserve">581-KAF21BR71H104KM </t>
  </si>
  <si>
    <r>
      <rPr>
        <sz val="9"/>
        <rFont val="Arial"/>
        <family val="0"/>
        <charset val="1"/>
      </rPr>
      <t xml:space="preserve">1608</t>
    </r>
    <r>
      <rPr>
        <sz val="9"/>
        <rFont val="Noto Sans JP"/>
        <family val="2"/>
        <charset val="128"/>
      </rPr>
      <t xml:space="preserve">でなく</t>
    </r>
    <r>
      <rPr>
        <sz val="9"/>
        <rFont val="Arial"/>
        <family val="0"/>
        <charset val="1"/>
      </rPr>
      <t xml:space="preserve">2012</t>
    </r>
    <r>
      <rPr>
        <sz val="9"/>
        <rFont val="Noto Sans JP"/>
        <family val="2"/>
        <charset val="128"/>
      </rPr>
      <t xml:space="preserve">なのは「</t>
    </r>
    <r>
      <rPr>
        <sz val="9"/>
        <rFont val="Arial"/>
        <family val="0"/>
        <charset val="1"/>
      </rPr>
      <t xml:space="preserve">1608</t>
    </r>
    <r>
      <rPr>
        <sz val="9"/>
        <rFont val="Noto Sans JP"/>
        <family val="2"/>
        <charset val="128"/>
      </rPr>
      <t xml:space="preserve">全数表面」規則のため（裏面実装）</t>
    </r>
  </si>
  <si>
    <t xml:space="preserve">IC</t>
  </si>
  <si>
    <t xml:space="preserve">MCP25625T-E/SS (CAN)</t>
  </si>
  <si>
    <t xml:space="preserve">SSOP-28 0.65mm</t>
  </si>
  <si>
    <t xml:space="preserve">U2</t>
  </si>
  <si>
    <t xml:space="preserve">¥400 (112663)</t>
  </si>
  <si>
    <t xml:space="preserve">MCP25625</t>
  </si>
  <si>
    <t xml:space="preserve">MCP25625T-E/SS</t>
  </si>
  <si>
    <r>
      <rPr>
        <sz val="9"/>
        <color rgb="FFC00000"/>
        <rFont val="Noto Sans JP"/>
        <family val="2"/>
        <charset val="128"/>
      </rPr>
      <t xml:space="preserve">★秋月が最安（</t>
    </r>
    <r>
      <rPr>
        <sz val="9"/>
        <color rgb="FFC00000"/>
        <rFont val="Arial"/>
        <family val="0"/>
        <charset val="1"/>
      </rPr>
      <t xml:space="preserve">DigiKey</t>
    </r>
    <r>
      <rPr>
        <sz val="9"/>
        <color rgb="FFC00000"/>
        <rFont val="Noto Sans JP"/>
        <family val="2"/>
        <charset val="128"/>
      </rPr>
      <t xml:space="preserve">は</t>
    </r>
    <r>
      <rPr>
        <sz val="9"/>
        <color rgb="FFC00000"/>
        <rFont val="Arial"/>
        <family val="0"/>
        <charset val="1"/>
      </rPr>
      <t xml:space="preserve">$3.38</t>
    </r>
    <r>
      <rPr>
        <sz val="9"/>
        <color rgb="FFC00000"/>
        <rFont val="Noto Sans JP"/>
        <family val="2"/>
        <charset val="128"/>
      </rPr>
      <t xml:space="preserve">）。手はんだ最難関</t>
    </r>
  </si>
  <si>
    <t xml:space="preserve">マイコン</t>
  </si>
  <si>
    <t xml:space="preserve">Raspberry Pi Pico 2</t>
  </si>
  <si>
    <t xml:space="preserve">2×20 2.54mm</t>
  </si>
  <si>
    <t xml:space="preserve">U3</t>
  </si>
  <si>
    <t xml:space="preserve">Pico 2 H ヘッダ実装済 (130982)</t>
  </si>
  <si>
    <r>
      <rPr>
        <sz val="9"/>
        <rFont val="Noto Sans JP"/>
        <family val="2"/>
        <charset val="128"/>
      </rPr>
      <t xml:space="preserve">ヘッダ無しは </t>
    </r>
    <r>
      <rPr>
        <sz val="9"/>
        <rFont val="Arial"/>
        <family val="0"/>
        <charset val="1"/>
      </rPr>
      <t xml:space="preserve">(129604)</t>
    </r>
    <r>
      <rPr>
        <sz val="9"/>
        <rFont val="Noto Sans JP"/>
        <family val="2"/>
        <charset val="128"/>
      </rPr>
      <t xml:space="preserve">。</t>
    </r>
    <r>
      <rPr>
        <sz val="9"/>
        <rFont val="Arial"/>
        <family val="0"/>
        <charset val="1"/>
      </rPr>
      <t xml:space="preserve">H</t>
    </r>
    <r>
      <rPr>
        <sz val="9"/>
        <rFont val="Noto Sans JP"/>
        <family val="2"/>
        <charset val="128"/>
      </rPr>
      <t xml:space="preserve">版なら自分でヘッダを付けずに済む</t>
    </r>
  </si>
  <si>
    <t xml:space="preserve">コネクタ</t>
  </si>
  <si>
    <r>
      <rPr>
        <sz val="9"/>
        <rFont val="Arial"/>
        <family val="0"/>
        <charset val="1"/>
      </rPr>
      <t xml:space="preserve">TE 1-967658-1 (MQS 8</t>
    </r>
    <r>
      <rPr>
        <sz val="9"/>
        <rFont val="Noto Sans JP"/>
        <family val="2"/>
        <charset val="128"/>
      </rPr>
      <t xml:space="preserve">極 </t>
    </r>
    <r>
      <rPr>
        <sz val="9"/>
        <rFont val="Arial"/>
        <family val="0"/>
        <charset val="1"/>
      </rPr>
      <t xml:space="preserve">RA)</t>
    </r>
  </si>
  <si>
    <r>
      <rPr>
        <sz val="9"/>
        <rFont val="Arial"/>
        <family val="0"/>
        <charset val="1"/>
      </rPr>
      <t xml:space="preserve">THT </t>
    </r>
    <r>
      <rPr>
        <sz val="9"/>
        <rFont val="Noto Sans JP"/>
        <family val="2"/>
        <charset val="128"/>
      </rPr>
      <t xml:space="preserve">ライトアングル</t>
    </r>
  </si>
  <si>
    <r>
      <rPr>
        <sz val="9"/>
        <rFont val="Arial"/>
        <family val="0"/>
        <charset val="1"/>
      </rPr>
      <t xml:space="preserve">J1 (</t>
    </r>
    <r>
      <rPr>
        <sz val="9"/>
        <rFont val="Noto Sans JP"/>
        <family val="2"/>
        <charset val="128"/>
      </rPr>
      <t xml:space="preserve">車両</t>
    </r>
    <r>
      <rPr>
        <sz val="9"/>
        <rFont val="Arial"/>
        <family val="0"/>
        <charset val="1"/>
      </rPr>
      <t xml:space="preserve">I/F)</t>
    </r>
  </si>
  <si>
    <t xml:space="preserve">1-967658-1</t>
  </si>
  <si>
    <t xml:space="preserve">DigiKey Marketplace</t>
  </si>
  <si>
    <r>
      <rPr>
        <sz val="9"/>
        <color rgb="FFC00000"/>
        <rFont val="Noto Sans JP"/>
        <family val="2"/>
        <charset val="128"/>
      </rPr>
      <t xml:space="preserve">★最も入手しにくい。</t>
    </r>
    <r>
      <rPr>
        <sz val="9"/>
        <color rgb="FFC00000"/>
        <rFont val="Arial"/>
        <family val="0"/>
        <charset val="1"/>
      </rPr>
      <t xml:space="preserve">DigiKey</t>
    </r>
    <r>
      <rPr>
        <sz val="9"/>
        <color rgb="FFC00000"/>
        <rFont val="Noto Sans JP"/>
        <family val="2"/>
        <charset val="128"/>
      </rPr>
      <t xml:space="preserve">は第三者出品。発注前に在庫確認</t>
    </r>
  </si>
  <si>
    <t xml:space="preserve">DM3AT-SF-PEJM5 (microSD)</t>
  </si>
  <si>
    <r>
      <rPr>
        <sz val="9"/>
        <rFont val="Arial"/>
        <family val="0"/>
        <charset val="1"/>
      </rPr>
      <t xml:space="preserve">SMD </t>
    </r>
    <r>
      <rPr>
        <sz val="9"/>
        <rFont val="Noto Sans JP"/>
        <family val="2"/>
        <charset val="128"/>
      </rPr>
      <t xml:space="preserve">ライトアングル</t>
    </r>
  </si>
  <si>
    <t xml:space="preserve">J2</t>
  </si>
  <si>
    <t xml:space="preserve">ヒロセ DM3AT-SF-PEJM5</t>
  </si>
  <si>
    <t xml:space="preserve">DM3AT-SF-PEJM5</t>
  </si>
  <si>
    <t xml:space="preserve">モジュール</t>
  </si>
  <si>
    <t xml:space="preserve">GT-502MGG-N (GPS)</t>
  </si>
  <si>
    <r>
      <rPr>
        <sz val="9"/>
        <rFont val="Noto Sans JP"/>
        <family val="2"/>
        <charset val="128"/>
      </rPr>
      <t xml:space="preserve">先バラ</t>
    </r>
    <r>
      <rPr>
        <sz val="9"/>
        <rFont val="Arial"/>
        <family val="0"/>
        <charset val="1"/>
      </rPr>
      <t xml:space="preserve">5</t>
    </r>
    <r>
      <rPr>
        <sz val="9"/>
        <rFont val="Noto Sans JP"/>
        <family val="2"/>
        <charset val="128"/>
      </rPr>
      <t xml:space="preserve">線</t>
    </r>
  </si>
  <si>
    <t xml:space="preserve">J3</t>
  </si>
  <si>
    <t xml:space="preserve">¥3,180 (117980)</t>
  </si>
  <si>
    <t xml:space="preserve">GT-502MGG-N</t>
  </si>
  <si>
    <t xml:space="preserve">YIC GT-502MGG-N</t>
  </si>
  <si>
    <t xml:space="preserve">秋月が最安</t>
  </si>
  <si>
    <t xml:space="preserve">水晶</t>
  </si>
  <si>
    <r>
      <rPr>
        <sz val="9"/>
        <rFont val="Arial"/>
        <family val="0"/>
        <charset val="1"/>
      </rPr>
      <t xml:space="preserve">16MHz HC-49/S CL=16</t>
    </r>
    <r>
      <rPr>
        <sz val="9"/>
        <rFont val="Noto Sans JP"/>
        <family val="2"/>
        <charset val="128"/>
      </rPr>
      <t xml:space="preserve">〜</t>
    </r>
    <r>
      <rPr>
        <sz val="9"/>
        <rFont val="Arial"/>
        <family val="0"/>
        <charset val="1"/>
      </rPr>
      <t xml:space="preserve">20pF</t>
    </r>
  </si>
  <si>
    <t xml:space="preserve">THT</t>
  </si>
  <si>
    <t xml:space="preserve">Y1</t>
  </si>
  <si>
    <t xml:space="preserve">CL=20pF (108671)</t>
  </si>
  <si>
    <t xml:space="preserve">16MHz HC-49</t>
  </si>
  <si>
    <r>
      <rPr>
        <sz val="9"/>
        <color rgb="FFC00000"/>
        <rFont val="Arial"/>
        <family val="0"/>
        <charset val="1"/>
      </rPr>
      <t xml:space="preserve">★CL=12pF</t>
    </r>
    <r>
      <rPr>
        <sz val="9"/>
        <color rgb="FFC00000"/>
        <rFont val="Noto Sans JP"/>
        <family val="2"/>
        <charset val="128"/>
      </rPr>
      <t xml:space="preserve">や</t>
    </r>
    <r>
      <rPr>
        <sz val="9"/>
        <color rgb="FFC00000"/>
        <rFont val="Arial"/>
        <family val="0"/>
        <charset val="1"/>
      </rPr>
      <t xml:space="preserve">32pF</t>
    </r>
    <r>
      <rPr>
        <sz val="9"/>
        <color rgb="FFC00000"/>
        <rFont val="Noto Sans JP"/>
        <family val="2"/>
        <charset val="128"/>
      </rPr>
      <t xml:space="preserve">の品は不可（</t>
    </r>
    <r>
      <rPr>
        <sz val="9"/>
        <color rgb="FFC00000"/>
        <rFont val="Arial"/>
        <family val="0"/>
        <charset val="1"/>
      </rPr>
      <t xml:space="preserve">C7/C8</t>
    </r>
    <r>
      <rPr>
        <sz val="9"/>
        <color rgb="FFC00000"/>
        <rFont val="Noto Sans JP"/>
        <family val="2"/>
        <charset val="128"/>
      </rPr>
      <t xml:space="preserve">が</t>
    </r>
    <r>
      <rPr>
        <sz val="9"/>
        <color rgb="FFC00000"/>
        <rFont val="Arial"/>
        <family val="0"/>
        <charset val="1"/>
      </rPr>
      <t xml:space="preserve">22pF</t>
    </r>
    <r>
      <rPr>
        <sz val="9"/>
        <color rgb="FFC00000"/>
        <rFont val="Noto Sans JP"/>
        <family val="2"/>
        <charset val="128"/>
      </rPr>
      <t xml:space="preserve">のため）</t>
    </r>
  </si>
  <si>
    <r>
      <rPr>
        <b val="true"/>
        <sz val="9"/>
        <rFont val="Noto Sans JP"/>
        <family val="2"/>
        <charset val="128"/>
      </rPr>
      <t xml:space="preserve">【</t>
    </r>
    <r>
      <rPr>
        <b val="true"/>
        <sz val="9"/>
        <rFont val="Arial"/>
        <family val="0"/>
        <charset val="1"/>
      </rPr>
      <t xml:space="preserve">BOM</t>
    </r>
    <r>
      <rPr>
        <b val="true"/>
        <sz val="9"/>
        <rFont val="Noto Sans JP"/>
        <family val="2"/>
        <charset val="128"/>
      </rPr>
      <t xml:space="preserve">外】</t>
    </r>
  </si>
  <si>
    <r>
      <rPr>
        <sz val="9"/>
        <rFont val="Arial"/>
        <family val="0"/>
        <charset val="1"/>
      </rPr>
      <t xml:space="preserve">1×20 </t>
    </r>
    <r>
      <rPr>
        <sz val="9"/>
        <rFont val="Noto Sans JP"/>
        <family val="2"/>
        <charset val="128"/>
      </rPr>
      <t xml:space="preserve">メスピンソケット </t>
    </r>
    <r>
      <rPr>
        <sz val="9"/>
        <rFont val="Arial"/>
        <family val="0"/>
        <charset val="1"/>
      </rPr>
      <t xml:space="preserve">2.54mm</t>
    </r>
  </si>
  <si>
    <r>
      <rPr>
        <sz val="9"/>
        <rFont val="Arial"/>
        <family val="0"/>
        <charset val="1"/>
      </rPr>
      <t xml:space="preserve">U3 </t>
    </r>
    <r>
      <rPr>
        <sz val="9"/>
        <rFont val="Noto Sans JP"/>
        <family val="2"/>
        <charset val="128"/>
      </rPr>
      <t xml:space="preserve">のソケット</t>
    </r>
  </si>
  <si>
    <t xml:space="preserve">分割ロングピンソケット 1×42 (105779)</t>
  </si>
  <si>
    <r>
      <rPr>
        <sz val="9"/>
        <rFont val="Arial"/>
        <family val="0"/>
        <charset val="1"/>
      </rPr>
      <t xml:space="preserve">Pico </t>
    </r>
    <r>
      <rPr>
        <sz val="9"/>
        <rFont val="Noto Sans JP"/>
        <family val="2"/>
        <charset val="128"/>
      </rPr>
      <t xml:space="preserve">をソケット実装する設計のため基板側に必要。</t>
    </r>
    <r>
      <rPr>
        <sz val="9"/>
        <rFont val="Arial"/>
        <family val="0"/>
        <charset val="1"/>
      </rPr>
      <t xml:space="preserve">1×42</t>
    </r>
    <r>
      <rPr>
        <sz val="9"/>
        <rFont val="Noto Sans JP"/>
        <family val="2"/>
        <charset val="128"/>
      </rPr>
      <t xml:space="preserve">を切って使う</t>
    </r>
  </si>
  <si>
    <t xml:space="preserve">合計</t>
  </si>
  <si>
    <r>
      <rPr>
        <i val="true"/>
        <sz val="9"/>
        <color rgb="FF555555"/>
        <rFont val="Noto Sans JP"/>
        <family val="2"/>
        <charset val="128"/>
      </rPr>
      <t xml:space="preserve">点（</t>
    </r>
    <r>
      <rPr>
        <i val="true"/>
        <sz val="9"/>
        <color rgb="FF555555"/>
        <rFont val="Arial"/>
        <family val="0"/>
        <charset val="1"/>
      </rPr>
      <t xml:space="preserve">BOM 38</t>
    </r>
    <r>
      <rPr>
        <i val="true"/>
        <sz val="9"/>
        <color rgb="FF555555"/>
        <rFont val="Noto Sans JP"/>
        <family val="2"/>
        <charset val="128"/>
      </rPr>
      <t xml:space="preserve">点 </t>
    </r>
    <r>
      <rPr>
        <i val="true"/>
        <sz val="9"/>
        <color rgb="FF555555"/>
        <rFont val="Arial"/>
        <family val="0"/>
        <charset val="1"/>
      </rPr>
      <t xml:space="preserve">+ </t>
    </r>
    <r>
      <rPr>
        <i val="true"/>
        <sz val="9"/>
        <color rgb="FF555555"/>
        <rFont val="Noto Sans JP"/>
        <family val="2"/>
        <charset val="128"/>
      </rPr>
      <t xml:space="preserve">ソケット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JP"/>
        <family val="2"/>
        <charset val="128"/>
      </rPr>
      <t xml:space="preserve">本）</t>
    </r>
  </si>
  <si>
    <t xml:space="preserve">発注・実装時の注意</t>
  </si>
  <si>
    <t xml:space="preserve">区分</t>
  </si>
  <si>
    <t xml:space="preserve">項目</t>
  </si>
  <si>
    <t xml:space="preserve">内容</t>
  </si>
  <si>
    <t xml:space="preserve">買ってはいけない</t>
  </si>
  <si>
    <r>
      <rPr>
        <b val="true"/>
        <sz val="9"/>
        <rFont val="Arial"/>
        <family val="0"/>
        <charset val="1"/>
      </rPr>
      <t xml:space="preserve">D1/D3 </t>
    </r>
    <r>
      <rPr>
        <b val="true"/>
        <sz val="9"/>
        <rFont val="Noto Sans JP"/>
        <family val="2"/>
        <charset val="128"/>
      </rPr>
      <t xml:space="preserve">に </t>
    </r>
    <r>
      <rPr>
        <b val="true"/>
        <sz val="9"/>
        <rFont val="Arial"/>
        <family val="0"/>
        <charset val="1"/>
      </rPr>
      <t xml:space="preserve">SS14</t>
    </r>
  </si>
  <si>
    <r>
      <rPr>
        <sz val="9"/>
        <rFont val="Noto Sans JP"/>
        <family val="2"/>
        <charset val="128"/>
      </rPr>
      <t xml:space="preserve">秋月の</t>
    </r>
    <r>
      <rPr>
        <sz val="9"/>
        <rFont val="Arial"/>
        <family val="0"/>
        <charset val="1"/>
      </rPr>
      <t xml:space="preserve">SS14(113240)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SMA(DO-214AC)</t>
    </r>
    <r>
      <rPr>
        <sz val="9"/>
        <rFont val="Noto Sans JP"/>
        <family val="2"/>
        <charset val="128"/>
      </rPr>
      <t xml:space="preserve">。基板のランドは</t>
    </r>
    <r>
      <rPr>
        <sz val="9"/>
        <rFont val="Arial"/>
        <family val="0"/>
        <charset val="1"/>
      </rPr>
      <t xml:space="preserve">SOD-123</t>
    </r>
    <r>
      <rPr>
        <sz val="9"/>
        <rFont val="Noto Sans JP"/>
        <family val="2"/>
        <charset val="128"/>
      </rPr>
      <t xml:space="preserve">なので物理的に載らない。</t>
    </r>
    <r>
      <rPr>
        <sz val="9"/>
        <rFont val="Arial"/>
        <family val="0"/>
        <charset val="1"/>
      </rPr>
      <t xml:space="preserve">1N5819HW-7-F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40V/1A</t>
    </r>
    <r>
      <rPr>
        <sz val="9"/>
        <rFont val="Noto Sans JP"/>
        <family val="2"/>
        <charset val="128"/>
      </rPr>
      <t xml:space="preserve">・</t>
    </r>
    <r>
      <rPr>
        <sz val="9"/>
        <rFont val="Arial"/>
        <family val="0"/>
        <charset val="1"/>
      </rPr>
      <t xml:space="preserve">SOD-123</t>
    </r>
    <r>
      <rPr>
        <sz val="9"/>
        <rFont val="Noto Sans JP"/>
        <family val="2"/>
        <charset val="128"/>
      </rPr>
      <t xml:space="preserve">）を買うこと。</t>
    </r>
  </si>
  <si>
    <r>
      <rPr>
        <b val="true"/>
        <sz val="9"/>
        <rFont val="Arial"/>
        <family val="0"/>
        <charset val="1"/>
      </rPr>
      <t xml:space="preserve">C2-C5/C10/C12 </t>
    </r>
    <r>
      <rPr>
        <b val="true"/>
        <sz val="9"/>
        <rFont val="Noto Sans JP"/>
        <family val="2"/>
        <charset val="128"/>
      </rPr>
      <t xml:space="preserve">に「</t>
    </r>
    <r>
      <rPr>
        <b val="true"/>
        <sz val="9"/>
        <rFont val="Arial"/>
        <family val="0"/>
        <charset val="1"/>
      </rPr>
      <t xml:space="preserve">F</t>
    </r>
    <r>
      <rPr>
        <b val="true"/>
        <sz val="9"/>
        <rFont val="Noto Sans JP"/>
        <family val="2"/>
        <charset val="128"/>
      </rPr>
      <t xml:space="preserve">特性」の</t>
    </r>
    <r>
      <rPr>
        <b val="true"/>
        <sz val="9"/>
        <rFont val="Arial"/>
        <family val="0"/>
        <charset val="1"/>
      </rPr>
      <t xml:space="preserve">0.1µF</t>
    </r>
  </si>
  <si>
    <r>
      <rPr>
        <sz val="9"/>
        <rFont val="Noto Sans JP"/>
        <family val="2"/>
        <charset val="128"/>
      </rPr>
      <t xml:space="preserve">秋月の</t>
    </r>
    <r>
      <rPr>
        <sz val="9"/>
        <rFont val="Arial"/>
        <family val="0"/>
        <charset val="1"/>
      </rPr>
      <t xml:space="preserve">0.1µF 50V F</t>
    </r>
    <r>
      <rPr>
        <sz val="9"/>
        <rFont val="Noto Sans JP"/>
        <family val="2"/>
        <charset val="128"/>
      </rPr>
      <t xml:space="preserve">特性</t>
    </r>
    <r>
      <rPr>
        <sz val="9"/>
        <rFont val="Arial"/>
        <family val="0"/>
        <charset val="1"/>
      </rPr>
      <t xml:space="preserve">(113374)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JIS</t>
    </r>
    <r>
      <rPr>
        <sz val="9"/>
        <rFont val="Noto Sans JP"/>
        <family val="2"/>
        <charset val="128"/>
      </rPr>
      <t xml:space="preserve">の</t>
    </r>
    <r>
      <rPr>
        <sz val="9"/>
        <rFont val="Arial"/>
        <family val="0"/>
        <charset val="1"/>
      </rPr>
      <t xml:space="preserve">F</t>
    </r>
    <r>
      <rPr>
        <sz val="9"/>
        <rFont val="Noto Sans JP"/>
        <family val="2"/>
        <charset val="128"/>
      </rPr>
      <t xml:space="preserve">特性＝</t>
    </r>
    <r>
      <rPr>
        <sz val="9"/>
        <rFont val="Arial"/>
        <family val="0"/>
        <charset val="1"/>
      </rPr>
      <t xml:space="preserve">Y5V</t>
    </r>
    <r>
      <rPr>
        <sz val="9"/>
        <rFont val="Noto Sans JP"/>
        <family val="2"/>
        <charset val="128"/>
      </rPr>
      <t xml:space="preserve">相当で、温度により</t>
    </r>
    <r>
      <rPr>
        <sz val="9"/>
        <rFont val="Arial"/>
        <family val="0"/>
        <charset val="1"/>
      </rPr>
      <t xml:space="preserve">+22%/-82%</t>
    </r>
    <r>
      <rPr>
        <sz val="9"/>
        <rFont val="Noto Sans JP"/>
        <family val="2"/>
        <charset val="128"/>
      </rPr>
      <t xml:space="preserve">変動する。デカップリングには使えない。</t>
    </r>
    <r>
      <rPr>
        <sz val="9"/>
        <rFont val="Arial"/>
        <family val="0"/>
        <charset val="1"/>
      </rPr>
      <t xml:space="preserve">X7R </t>
    </r>
    <r>
      <rPr>
        <sz val="9"/>
        <rFont val="Noto Sans JP"/>
        <family val="2"/>
        <charset val="128"/>
      </rPr>
      <t xml:space="preserve">か </t>
    </r>
    <r>
      <rPr>
        <sz val="9"/>
        <rFont val="Arial"/>
        <family val="0"/>
        <charset val="1"/>
      </rPr>
      <t xml:space="preserve">X8L </t>
    </r>
    <r>
      <rPr>
        <sz val="9"/>
        <rFont val="Noto Sans JP"/>
        <family val="2"/>
        <charset val="128"/>
      </rPr>
      <t xml:space="preserve">を選ぶこと。</t>
    </r>
  </si>
  <si>
    <r>
      <rPr>
        <b val="true"/>
        <sz val="9"/>
        <rFont val="Arial"/>
        <family val="0"/>
        <charset val="1"/>
      </rPr>
      <t xml:space="preserve">F1 </t>
    </r>
    <r>
      <rPr>
        <b val="true"/>
        <sz val="9"/>
        <rFont val="Noto Sans JP"/>
        <family val="2"/>
        <charset val="128"/>
      </rPr>
      <t xml:space="preserve">に </t>
    </r>
    <r>
      <rPr>
        <b val="true"/>
        <sz val="9"/>
        <rFont val="Arial"/>
        <family val="0"/>
        <charset val="1"/>
      </rPr>
      <t xml:space="preserve">6V / 8V </t>
    </r>
    <r>
      <rPr>
        <b val="true"/>
        <sz val="9"/>
        <rFont val="Noto Sans JP"/>
        <family val="2"/>
        <charset val="128"/>
      </rPr>
      <t xml:space="preserve">品</t>
    </r>
  </si>
  <si>
    <r>
      <rPr>
        <sz val="9"/>
        <rFont val="Arial"/>
        <family val="0"/>
        <charset val="1"/>
      </rPr>
      <t xml:space="preserve">1206L110</t>
    </r>
    <r>
      <rPr>
        <sz val="9"/>
        <rFont val="Noto Sans JP"/>
        <family val="2"/>
        <charset val="128"/>
      </rPr>
      <t xml:space="preserve">系には</t>
    </r>
    <r>
      <rPr>
        <sz val="9"/>
        <rFont val="Arial"/>
        <family val="0"/>
        <charset val="1"/>
      </rPr>
      <t xml:space="preserve">6V(1206L110SLYR)</t>
    </r>
    <r>
      <rPr>
        <sz val="9"/>
        <rFont val="Noto Sans JP"/>
        <family val="2"/>
        <charset val="128"/>
      </rPr>
      <t xml:space="preserve">と</t>
    </r>
    <r>
      <rPr>
        <sz val="9"/>
        <rFont val="Arial"/>
        <family val="0"/>
        <charset val="1"/>
      </rPr>
      <t xml:space="preserve">8V(1206L110THYR)</t>
    </r>
    <r>
      <rPr>
        <sz val="9"/>
        <rFont val="Noto Sans JP"/>
        <family val="2"/>
        <charset val="128"/>
      </rPr>
      <t xml:space="preserve">もある。</t>
    </r>
    <r>
      <rPr>
        <sz val="9"/>
        <rFont val="Arial"/>
        <family val="0"/>
        <charset val="1"/>
      </rPr>
      <t xml:space="preserve">12V</t>
    </r>
    <r>
      <rPr>
        <sz val="9"/>
        <rFont val="Noto Sans JP"/>
        <family val="2"/>
        <charset val="128"/>
      </rPr>
      <t xml:space="preserve">車載では使えない。</t>
    </r>
    <r>
      <rPr>
        <sz val="9"/>
        <rFont val="Arial"/>
        <family val="0"/>
        <charset val="1"/>
      </rPr>
      <t xml:space="preserve">1206L110/16WR </t>
    </r>
    <r>
      <rPr>
        <sz val="9"/>
        <rFont val="Noto Sans JP"/>
        <family val="2"/>
        <charset val="128"/>
      </rPr>
      <t xml:space="preserve">を指定すること。秋月の</t>
    </r>
    <r>
      <rPr>
        <sz val="9"/>
        <rFont val="Arial"/>
        <family val="0"/>
        <charset val="1"/>
      </rPr>
      <t xml:space="preserve">PICOSMDC110S-2</t>
    </r>
    <r>
      <rPr>
        <sz val="9"/>
        <rFont val="Noto Sans JP"/>
        <family val="2"/>
        <charset val="128"/>
      </rPr>
      <t xml:space="preserve">も</t>
    </r>
    <r>
      <rPr>
        <sz val="9"/>
        <rFont val="Arial"/>
        <family val="0"/>
        <charset val="1"/>
      </rPr>
      <t xml:space="preserve">6V</t>
    </r>
    <r>
      <rPr>
        <sz val="9"/>
        <rFont val="Noto Sans JP"/>
        <family val="2"/>
        <charset val="128"/>
      </rPr>
      <t xml:space="preserve">。</t>
    </r>
  </si>
  <si>
    <t xml:space="preserve">仕様の判断</t>
  </si>
  <si>
    <r>
      <rPr>
        <b val="true"/>
        <sz val="9"/>
        <rFont val="Arial"/>
        <family val="0"/>
        <charset val="1"/>
      </rPr>
      <t xml:space="preserve">F1 </t>
    </r>
    <r>
      <rPr>
        <b val="true"/>
        <sz val="9"/>
        <rFont val="Noto Sans JP"/>
        <family val="2"/>
        <charset val="128"/>
      </rPr>
      <t xml:space="preserve">の耐圧</t>
    </r>
    <r>
      <rPr>
        <b val="true"/>
        <sz val="9"/>
        <rFont val="Arial"/>
        <family val="0"/>
        <charset val="1"/>
      </rPr>
      <t xml:space="preserve">16V</t>
    </r>
    <r>
      <rPr>
        <b val="true"/>
        <sz val="9"/>
        <rFont val="Noto Sans JP"/>
        <family val="2"/>
        <charset val="128"/>
      </rPr>
      <t xml:space="preserve">は許容済み</t>
    </r>
  </si>
  <si>
    <r>
      <rPr>
        <sz val="9"/>
        <rFont val="Arial"/>
        <family val="0"/>
        <charset val="1"/>
      </rPr>
      <t xml:space="preserve">1206</t>
    </r>
    <r>
      <rPr>
        <sz val="9"/>
        <rFont val="Noto Sans JP"/>
        <family val="2"/>
        <charset val="128"/>
      </rPr>
      <t xml:space="preserve">で</t>
    </r>
    <r>
      <rPr>
        <sz val="9"/>
        <rFont val="Arial"/>
        <family val="0"/>
        <charset val="1"/>
      </rPr>
      <t xml:space="preserve">1.1A hold</t>
    </r>
    <r>
      <rPr>
        <sz val="9"/>
        <rFont val="Noto Sans JP"/>
        <family val="2"/>
        <charset val="128"/>
      </rPr>
      <t xml:space="preserve">の</t>
    </r>
    <r>
      <rPr>
        <sz val="9"/>
        <rFont val="Arial"/>
        <family val="0"/>
        <charset val="1"/>
      </rPr>
      <t xml:space="preserve">PPTC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16V</t>
    </r>
    <r>
      <rPr>
        <sz val="9"/>
        <rFont val="Noto Sans JP"/>
        <family val="2"/>
        <charset val="128"/>
      </rPr>
      <t xml:space="preserve">が上限。しかも</t>
    </r>
    <r>
      <rPr>
        <sz val="9"/>
        <rFont val="Arial"/>
        <family val="0"/>
        <charset val="1"/>
      </rPr>
      <t xml:space="preserve">F1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D2(TVS)</t>
    </r>
    <r>
      <rPr>
        <sz val="9"/>
        <rFont val="Noto Sans JP"/>
        <family val="2"/>
        <charset val="128"/>
      </rPr>
      <t xml:space="preserve">より前段</t>
    </r>
    <r>
      <rPr>
        <sz val="9"/>
        <rFont val="Arial"/>
        <family val="0"/>
        <charset val="1"/>
      </rPr>
      <t xml:space="preserve">(J1.8→F1→D1→D2)</t>
    </r>
    <r>
      <rPr>
        <sz val="9"/>
        <rFont val="Noto Sans JP"/>
        <family val="2"/>
        <charset val="128"/>
      </rPr>
      <t xml:space="preserve">にあり、車両側サージをクランプされずに直接受ける唯一の部品。</t>
    </r>
    <r>
      <rPr>
        <sz val="9"/>
        <rFont val="Arial"/>
        <family val="0"/>
        <charset val="1"/>
      </rPr>
      <t xml:space="preserve">24V/30V</t>
    </r>
    <r>
      <rPr>
        <sz val="9"/>
        <rFont val="Noto Sans JP"/>
        <family val="2"/>
        <charset val="128"/>
      </rPr>
      <t xml:space="preserve">品は</t>
    </r>
    <r>
      <rPr>
        <sz val="9"/>
        <rFont val="Arial"/>
        <family val="0"/>
        <charset val="1"/>
      </rPr>
      <t xml:space="preserve">1812</t>
    </r>
    <r>
      <rPr>
        <sz val="9"/>
        <rFont val="Noto Sans JP"/>
        <family val="2"/>
        <charset val="128"/>
      </rPr>
      <t xml:space="preserve">などサイズアップが必要で基板変更を伴うため、ユーザー判断で</t>
    </r>
    <r>
      <rPr>
        <sz val="9"/>
        <rFont val="Arial"/>
        <family val="0"/>
        <charset val="1"/>
      </rPr>
      <t xml:space="preserve">16V</t>
    </r>
    <r>
      <rPr>
        <sz val="9"/>
        <rFont val="Noto Sans JP"/>
        <family val="2"/>
        <charset val="128"/>
      </rPr>
      <t xml:space="preserve">のまま進める（</t>
    </r>
    <r>
      <rPr>
        <sz val="9"/>
        <rFont val="Arial"/>
        <family val="0"/>
        <charset val="1"/>
      </rPr>
      <t xml:space="preserve">2026-07-31</t>
    </r>
    <r>
      <rPr>
        <sz val="9"/>
        <rFont val="Noto Sans JP"/>
        <family val="2"/>
        <charset val="128"/>
      </rPr>
      <t xml:space="preserve">）。</t>
    </r>
  </si>
  <si>
    <r>
      <rPr>
        <b val="true"/>
        <sz val="9"/>
        <color rgb="FF1F4E79"/>
        <rFont val="Arial"/>
        <family val="0"/>
        <charset val="1"/>
      </rPr>
      <t xml:space="preserve">v3</t>
    </r>
    <r>
      <rPr>
        <b val="true"/>
        <sz val="9"/>
        <color rgb="FF1F4E79"/>
        <rFont val="Noto Sans JP"/>
        <family val="2"/>
        <charset val="128"/>
      </rPr>
      <t xml:space="preserve">変更</t>
    </r>
  </si>
  <si>
    <r>
      <rPr>
        <b val="true"/>
        <sz val="9"/>
        <rFont val="Arial"/>
        <family val="0"/>
        <charset val="1"/>
      </rPr>
      <t xml:space="preserve">C13</t>
    </r>
    <r>
      <rPr>
        <b val="true"/>
        <sz val="9"/>
        <rFont val="Noto Sans JP"/>
        <family val="2"/>
        <charset val="128"/>
      </rPr>
      <t xml:space="preserve">（</t>
    </r>
    <r>
      <rPr>
        <b val="true"/>
        <sz val="9"/>
        <rFont val="Arial"/>
        <family val="0"/>
        <charset val="1"/>
      </rPr>
      <t xml:space="preserve">10µF/25V</t>
    </r>
    <r>
      <rPr>
        <b val="true"/>
        <sz val="9"/>
        <rFont val="Noto Sans JP"/>
        <family val="2"/>
        <charset val="128"/>
      </rPr>
      <t xml:space="preserve">）と </t>
    </r>
    <r>
      <rPr>
        <b val="true"/>
        <sz val="9"/>
        <rFont val="Arial"/>
        <family val="0"/>
        <charset val="1"/>
      </rPr>
      <t xml:space="preserve">R15</t>
    </r>
    <r>
      <rPr>
        <b val="true"/>
        <sz val="9"/>
        <rFont val="Noto Sans JP"/>
        <family val="2"/>
        <charset val="128"/>
      </rPr>
      <t xml:space="preserve">（</t>
    </r>
    <r>
      <rPr>
        <b val="true"/>
        <sz val="9"/>
        <rFont val="Arial"/>
        <family val="0"/>
        <charset val="1"/>
      </rPr>
      <t xml:space="preserve">10k</t>
    </r>
    <r>
      <rPr>
        <b val="true"/>
        <sz val="9"/>
        <rFont val="Noto Sans JP"/>
        <family val="2"/>
        <charset val="128"/>
      </rPr>
      <t xml:space="preserve">）が増えた</t>
    </r>
  </si>
  <si>
    <r>
      <rPr>
        <sz val="9"/>
        <rFont val="Arial"/>
        <family val="0"/>
        <charset val="1"/>
      </rPr>
      <t xml:space="preserve">v3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2026-08-09</t>
    </r>
    <r>
      <rPr>
        <sz val="9"/>
        <rFont val="Noto Sans JP"/>
        <family val="2"/>
        <charset val="128"/>
      </rPr>
      <t xml:space="preserve">）で</t>
    </r>
    <r>
      <rPr>
        <sz val="9"/>
        <rFont val="Arial"/>
        <family val="0"/>
        <charset val="1"/>
      </rPr>
      <t xml:space="preserve">IGN OFF</t>
    </r>
    <r>
      <rPr>
        <sz val="9"/>
        <rFont val="Noto Sans JP"/>
        <family val="2"/>
        <charset val="128"/>
      </rPr>
      <t xml:space="preserve">遅延を追加。</t>
    </r>
    <r>
      <rPr>
        <sz val="9"/>
        <rFont val="Arial"/>
        <family val="0"/>
        <charset val="1"/>
      </rPr>
      <t xml:space="preserve">C13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Q2</t>
    </r>
    <r>
      <rPr>
        <sz val="9"/>
        <rFont val="Noto Sans JP"/>
        <family val="2"/>
        <charset val="128"/>
      </rPr>
      <t xml:space="preserve">のゲート–ソース間で</t>
    </r>
    <r>
      <rPr>
        <sz val="9"/>
        <rFont val="Arial"/>
        <family val="0"/>
        <charset val="1"/>
      </rPr>
      <t xml:space="preserve">25V</t>
    </r>
    <r>
      <rPr>
        <sz val="9"/>
        <rFont val="Noto Sans JP"/>
        <family val="2"/>
        <charset val="128"/>
      </rPr>
      <t xml:space="preserve">以上必須、</t>
    </r>
    <r>
      <rPr>
        <sz val="9"/>
        <rFont val="Arial"/>
        <family val="0"/>
        <charset val="1"/>
      </rPr>
      <t xml:space="preserve">R15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Q1</t>
    </r>
    <r>
      <rPr>
        <sz val="9"/>
        <rFont val="Noto Sans JP"/>
        <family val="2"/>
        <charset val="128"/>
      </rPr>
      <t xml:space="preserve">ベース→</t>
    </r>
    <r>
      <rPr>
        <sz val="9"/>
        <rFont val="Arial"/>
        <family val="0"/>
        <charset val="1"/>
      </rPr>
      <t xml:space="preserve">GP28</t>
    </r>
    <r>
      <rPr>
        <sz val="9"/>
        <rFont val="Noto Sans JP"/>
        <family val="2"/>
        <charset val="128"/>
      </rPr>
      <t xml:space="preserve">の</t>
    </r>
    <r>
      <rPr>
        <sz val="9"/>
        <rFont val="Arial"/>
        <family val="0"/>
        <charset val="1"/>
      </rPr>
      <t xml:space="preserve">IG</t>
    </r>
    <r>
      <rPr>
        <sz val="9"/>
        <rFont val="Noto Sans JP"/>
        <family val="2"/>
        <charset val="128"/>
      </rPr>
      <t xml:space="preserve">検知用。</t>
    </r>
    <r>
      <rPr>
        <sz val="9"/>
        <rFont val="Arial"/>
        <family val="0"/>
        <charset val="1"/>
      </rPr>
      <t xml:space="preserve">10µF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3</t>
    </r>
    <r>
      <rPr>
        <sz val="9"/>
        <rFont val="Noto Sans JP"/>
        <family val="2"/>
        <charset val="128"/>
      </rPr>
      <t xml:space="preserve">点、</t>
    </r>
    <r>
      <rPr>
        <sz val="9"/>
        <rFont val="Arial"/>
        <family val="0"/>
        <charset val="1"/>
      </rPr>
      <t xml:space="preserve">10kΩ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7</t>
    </r>
    <r>
      <rPr>
        <sz val="9"/>
        <rFont val="Noto Sans JP"/>
        <family val="2"/>
        <charset val="128"/>
      </rPr>
      <t xml:space="preserve">点になった。</t>
    </r>
  </si>
  <si>
    <r>
      <rPr>
        <b val="true"/>
        <sz val="9"/>
        <color rgb="FF1F4E79"/>
        <rFont val="Arial"/>
        <family val="0"/>
        <charset val="1"/>
      </rPr>
      <t xml:space="preserve">v2</t>
    </r>
    <r>
      <rPr>
        <b val="true"/>
        <sz val="9"/>
        <color rgb="FF1F4E79"/>
        <rFont val="Noto Sans JP"/>
        <family val="2"/>
        <charset val="128"/>
      </rPr>
      <t xml:space="preserve">変更</t>
    </r>
  </si>
  <si>
    <r>
      <rPr>
        <b val="true"/>
        <sz val="9"/>
        <rFont val="Arial"/>
        <family val="0"/>
        <charset val="1"/>
      </rPr>
      <t xml:space="preserve">R5</t>
    </r>
    <r>
      <rPr>
        <b val="true"/>
        <sz val="9"/>
        <rFont val="Noto Sans JP"/>
        <family val="2"/>
        <charset val="128"/>
      </rPr>
      <t xml:space="preserve">・</t>
    </r>
    <r>
      <rPr>
        <b val="true"/>
        <sz val="9"/>
        <rFont val="Arial"/>
        <family val="0"/>
        <charset val="1"/>
      </rPr>
      <t xml:space="preserve">D4</t>
    </r>
    <r>
      <rPr>
        <b val="true"/>
        <sz val="9"/>
        <rFont val="Noto Sans JP"/>
        <family val="2"/>
        <charset val="128"/>
      </rPr>
      <t xml:space="preserve">・</t>
    </r>
    <r>
      <rPr>
        <b val="true"/>
        <sz val="9"/>
        <rFont val="Arial"/>
        <family val="0"/>
        <charset val="1"/>
      </rPr>
      <t xml:space="preserve">C12 </t>
    </r>
    <r>
      <rPr>
        <b val="true"/>
        <sz val="9"/>
        <rFont val="Noto Sans JP"/>
        <family val="2"/>
        <charset val="128"/>
      </rPr>
      <t xml:space="preserve">は購入不要</t>
    </r>
  </si>
  <si>
    <r>
      <rPr>
        <sz val="9"/>
        <rFont val="Arial"/>
        <family val="0"/>
        <charset val="1"/>
      </rPr>
      <t xml:space="preserve">v2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2026-08-08</t>
    </r>
    <r>
      <rPr>
        <sz val="9"/>
        <rFont val="Noto Sans JP"/>
        <family val="2"/>
        <charset val="128"/>
      </rPr>
      <t xml:space="preserve">）で</t>
    </r>
    <r>
      <rPr>
        <sz val="9"/>
        <rFont val="Arial"/>
        <family val="0"/>
        <charset val="1"/>
      </rPr>
      <t xml:space="preserve">IG</t>
    </r>
    <r>
      <rPr>
        <sz val="9"/>
        <rFont val="Noto Sans JP"/>
        <family val="2"/>
        <charset val="128"/>
      </rPr>
      <t xml:space="preserve">電圧センシングを廃止し、</t>
    </r>
    <r>
      <rPr>
        <sz val="9"/>
        <rFont val="Arial"/>
        <family val="0"/>
        <charset val="1"/>
      </rPr>
      <t xml:space="preserve">R5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10k 1</t>
    </r>
    <r>
      <rPr>
        <sz val="9"/>
        <rFont val="Noto Sans JP"/>
        <family val="2"/>
        <charset val="128"/>
      </rPr>
      <t xml:space="preserve">点）、</t>
    </r>
    <r>
      <rPr>
        <sz val="9"/>
        <rFont val="Arial"/>
        <family val="0"/>
        <charset val="1"/>
      </rPr>
      <t xml:space="preserve">D4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3.3V</t>
    </r>
    <r>
      <rPr>
        <sz val="9"/>
        <rFont val="Noto Sans JP"/>
        <family val="2"/>
        <charset val="128"/>
      </rPr>
      <t xml:space="preserve">ツェナー）、</t>
    </r>
    <r>
      <rPr>
        <sz val="9"/>
        <rFont val="Arial"/>
        <family val="0"/>
        <charset val="1"/>
      </rPr>
      <t xml:space="preserve">C12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100nF 1</t>
    </r>
    <r>
      <rPr>
        <sz val="9"/>
        <rFont val="Noto Sans JP"/>
        <family val="2"/>
        <charset val="128"/>
      </rPr>
      <t xml:space="preserve">点）を削除した。</t>
    </r>
    <r>
      <rPr>
        <sz val="9"/>
        <rFont val="Arial"/>
        <family val="0"/>
        <charset val="1"/>
      </rPr>
      <t xml:space="preserve">10kΩ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6</t>
    </r>
    <r>
      <rPr>
        <sz val="9"/>
        <rFont val="Noto Sans JP"/>
        <family val="2"/>
        <charset val="128"/>
      </rPr>
      <t xml:space="preserve">点、</t>
    </r>
    <r>
      <rPr>
        <sz val="9"/>
        <rFont val="Arial"/>
        <family val="0"/>
        <charset val="1"/>
      </rPr>
      <t xml:space="preserve">100nF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5</t>
    </r>
    <r>
      <rPr>
        <sz val="9"/>
        <rFont val="Noto Sans JP"/>
        <family val="2"/>
        <charset val="128"/>
      </rPr>
      <t xml:space="preserve">点に減っている。</t>
    </r>
  </si>
  <si>
    <r>
      <rPr>
        <b val="true"/>
        <sz val="9"/>
        <rFont val="Arial"/>
        <family val="0"/>
        <charset val="1"/>
      </rPr>
      <t xml:space="preserve">Y1 </t>
    </r>
    <r>
      <rPr>
        <b val="true"/>
        <sz val="9"/>
        <rFont val="Noto Sans JP"/>
        <family val="2"/>
        <charset val="128"/>
      </rPr>
      <t xml:space="preserve">の負荷容量</t>
    </r>
  </si>
  <si>
    <r>
      <rPr>
        <sz val="9"/>
        <rFont val="Arial"/>
        <family val="0"/>
        <charset val="1"/>
      </rPr>
      <t xml:space="preserve">C7/C8</t>
    </r>
    <r>
      <rPr>
        <sz val="9"/>
        <rFont val="Noto Sans JP"/>
        <family val="2"/>
        <charset val="128"/>
      </rPr>
      <t xml:space="preserve">が</t>
    </r>
    <r>
      <rPr>
        <sz val="9"/>
        <rFont val="Arial"/>
        <family val="0"/>
        <charset val="1"/>
      </rPr>
      <t xml:space="preserve">22pF</t>
    </r>
    <r>
      <rPr>
        <sz val="9"/>
        <rFont val="Noto Sans JP"/>
        <family val="2"/>
        <charset val="128"/>
      </rPr>
      <t xml:space="preserve">なので負荷容量</t>
    </r>
    <r>
      <rPr>
        <sz val="9"/>
        <rFont val="Arial"/>
        <family val="0"/>
        <charset val="1"/>
      </rPr>
      <t xml:space="preserve">CL=16</t>
    </r>
    <r>
      <rPr>
        <sz val="9"/>
        <rFont val="Noto Sans JP"/>
        <family val="2"/>
        <charset val="128"/>
      </rPr>
      <t xml:space="preserve">〜</t>
    </r>
    <r>
      <rPr>
        <sz val="9"/>
        <rFont val="Arial"/>
        <family val="0"/>
        <charset val="1"/>
      </rPr>
      <t xml:space="preserve">20pF</t>
    </r>
    <r>
      <rPr>
        <sz val="9"/>
        <rFont val="Noto Sans JP"/>
        <family val="2"/>
        <charset val="128"/>
      </rPr>
      <t xml:space="preserve">の水晶を選ぶこと。秋月の</t>
    </r>
    <r>
      <rPr>
        <sz val="9"/>
        <rFont val="Arial"/>
        <family val="0"/>
        <charset val="1"/>
      </rPr>
      <t xml:space="preserve">108671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CL=20pF</t>
    </r>
    <r>
      <rPr>
        <sz val="9"/>
        <rFont val="Noto Sans JP"/>
        <family val="2"/>
        <charset val="128"/>
      </rPr>
      <t xml:space="preserve">で適合。</t>
    </r>
    <r>
      <rPr>
        <sz val="9"/>
        <rFont val="Arial"/>
        <family val="0"/>
        <charset val="1"/>
      </rPr>
      <t xml:space="preserve">CL=12pF</t>
    </r>
    <r>
      <rPr>
        <sz val="9"/>
        <rFont val="Noto Sans JP"/>
        <family val="2"/>
        <charset val="128"/>
      </rPr>
      <t xml:space="preserve">や</t>
    </r>
    <r>
      <rPr>
        <sz val="9"/>
        <rFont val="Arial"/>
        <family val="0"/>
        <charset val="1"/>
      </rPr>
      <t xml:space="preserve">32pF</t>
    </r>
    <r>
      <rPr>
        <sz val="9"/>
        <rFont val="Noto Sans JP"/>
        <family val="2"/>
        <charset val="128"/>
      </rPr>
      <t xml:space="preserve">の品は不可。</t>
    </r>
  </si>
  <si>
    <t xml:space="preserve">入手性</t>
  </si>
  <si>
    <r>
      <rPr>
        <b val="true"/>
        <sz val="9"/>
        <rFont val="Arial"/>
        <family val="0"/>
        <charset val="1"/>
      </rPr>
      <t xml:space="preserve">J1</t>
    </r>
    <r>
      <rPr>
        <b val="true"/>
        <sz val="9"/>
        <rFont val="Noto Sans JP"/>
        <family val="2"/>
        <charset val="128"/>
      </rPr>
      <t xml:space="preserve">（</t>
    </r>
    <r>
      <rPr>
        <b val="true"/>
        <sz val="9"/>
        <rFont val="Arial"/>
        <family val="0"/>
        <charset val="1"/>
      </rPr>
      <t xml:space="preserve">MQS</t>
    </r>
    <r>
      <rPr>
        <b val="true"/>
        <sz val="9"/>
        <rFont val="Noto Sans JP"/>
        <family val="2"/>
        <charset val="128"/>
      </rPr>
      <t xml:space="preserve">コネクタ）が最難関</t>
    </r>
  </si>
  <si>
    <r>
      <rPr>
        <sz val="9"/>
        <rFont val="Arial"/>
        <family val="0"/>
        <charset val="1"/>
      </rPr>
      <t xml:space="preserve">DigiKey</t>
    </r>
    <r>
      <rPr>
        <sz val="9"/>
        <rFont val="Noto Sans JP"/>
        <family val="2"/>
        <charset val="128"/>
      </rPr>
      <t xml:space="preserve">では</t>
    </r>
    <r>
      <rPr>
        <sz val="9"/>
        <rFont val="Arial"/>
        <family val="0"/>
        <charset val="1"/>
      </rPr>
      <t xml:space="preserve">Marketplace</t>
    </r>
    <r>
      <rPr>
        <sz val="9"/>
        <rFont val="Noto Sans JP"/>
        <family val="2"/>
        <charset val="128"/>
      </rPr>
      <t xml:space="preserve">（第三者出品）扱いで在庫・納期が通常在庫品と異なる。マルツ・</t>
    </r>
    <r>
      <rPr>
        <sz val="9"/>
        <rFont val="Arial"/>
        <family val="0"/>
        <charset val="1"/>
      </rPr>
      <t xml:space="preserve">RS</t>
    </r>
    <r>
      <rPr>
        <sz val="9"/>
        <rFont val="Noto Sans JP"/>
        <family val="2"/>
        <charset val="128"/>
      </rPr>
      <t xml:space="preserve">コンポーネンツでも型番検索する価値がある。代替の効かない部品なので発注前に必ず在庫を確認すること。</t>
    </r>
  </si>
  <si>
    <t xml:space="preserve">秋月でしか買えないもの</t>
  </si>
  <si>
    <r>
      <rPr>
        <sz val="9"/>
        <rFont val="Arial"/>
        <family val="0"/>
        <charset val="1"/>
      </rPr>
      <t xml:space="preserve">D6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LP812-010(T) </t>
    </r>
    <r>
      <rPr>
        <sz val="9"/>
        <rFont val="Noto Sans JP"/>
        <family val="2"/>
        <charset val="128"/>
      </rPr>
      <t xml:space="preserve">サイドビュー</t>
    </r>
    <r>
      <rPr>
        <sz val="9"/>
        <rFont val="Arial"/>
        <family val="0"/>
        <charset val="1"/>
      </rPr>
      <t xml:space="preserve">LED</t>
    </r>
    <r>
      <rPr>
        <sz val="9"/>
        <rFont val="Noto Sans JP"/>
        <family val="2"/>
        <charset val="128"/>
      </rPr>
      <t xml:space="preserve">）は</t>
    </r>
    <r>
      <rPr>
        <sz val="9"/>
        <rFont val="Arial"/>
        <family val="0"/>
        <charset val="1"/>
      </rPr>
      <t xml:space="preserve">KODENSHI</t>
    </r>
    <r>
      <rPr>
        <sz val="9"/>
        <rFont val="Noto Sans JP"/>
        <family val="2"/>
        <charset val="128"/>
      </rPr>
      <t xml:space="preserve">の国内向け品で海外流通が無い。</t>
    </r>
    <r>
      <rPr>
        <sz val="9"/>
        <rFont val="Arial"/>
        <family val="0"/>
        <charset val="1"/>
      </rPr>
      <t xml:space="preserve">J3</t>
    </r>
    <r>
      <rPr>
        <sz val="9"/>
        <rFont val="Noto Sans JP"/>
        <family val="2"/>
        <charset val="128"/>
      </rPr>
      <t xml:space="preserve">（</t>
    </r>
    <r>
      <rPr>
        <sz val="9"/>
        <rFont val="Arial"/>
        <family val="0"/>
        <charset val="1"/>
      </rPr>
      <t xml:space="preserve">GT-502MGG-N</t>
    </r>
    <r>
      <rPr>
        <sz val="9"/>
        <rFont val="Noto Sans JP"/>
        <family val="2"/>
        <charset val="128"/>
      </rPr>
      <t xml:space="preserve">）は</t>
    </r>
    <r>
      <rPr>
        <sz val="9"/>
        <rFont val="Arial"/>
        <family val="0"/>
        <charset val="1"/>
      </rPr>
      <t xml:space="preserve">DigiKey</t>
    </r>
    <r>
      <rPr>
        <sz val="9"/>
        <rFont val="Noto Sans JP"/>
        <family val="2"/>
        <charset val="128"/>
      </rPr>
      <t xml:space="preserve">にもあるが秋月が最安（</t>
    </r>
    <r>
      <rPr>
        <sz val="9"/>
        <rFont val="Arial"/>
        <family val="0"/>
        <charset val="1"/>
      </rPr>
      <t xml:space="preserve">¥3,180</t>
    </r>
    <r>
      <rPr>
        <sz val="9"/>
        <rFont val="Noto Sans JP"/>
        <family val="2"/>
        <charset val="128"/>
      </rPr>
      <t xml:space="preserve">）。</t>
    </r>
  </si>
  <si>
    <r>
      <rPr>
        <b val="true"/>
        <sz val="9"/>
        <rFont val="Noto Sans JP"/>
        <family val="2"/>
        <charset val="128"/>
      </rPr>
      <t xml:space="preserve">秋月の</t>
    </r>
    <r>
      <rPr>
        <b val="true"/>
        <sz val="9"/>
        <rFont val="Arial"/>
        <family val="0"/>
        <charset val="1"/>
      </rPr>
      <t xml:space="preserve">1608</t>
    </r>
    <r>
      <rPr>
        <b val="true"/>
        <sz val="9"/>
        <rFont val="Noto Sans JP"/>
        <family val="2"/>
        <charset val="128"/>
      </rPr>
      <t xml:space="preserve">抵抗は小分けが限られる</t>
    </r>
  </si>
  <si>
    <r>
      <rPr>
        <sz val="9"/>
        <rFont val="Arial"/>
        <family val="0"/>
        <charset val="1"/>
      </rPr>
      <t xml:space="preserve">10kΩ(130355)</t>
    </r>
    <r>
      <rPr>
        <sz val="9"/>
        <rFont val="Noto Sans JP"/>
        <family val="2"/>
        <charset val="128"/>
      </rPr>
      <t xml:space="preserve">と</t>
    </r>
    <r>
      <rPr>
        <sz val="9"/>
        <rFont val="Arial"/>
        <family val="0"/>
        <charset val="1"/>
      </rPr>
      <t xml:space="preserve">100kΩ(130357)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100</t>
    </r>
    <r>
      <rPr>
        <sz val="9"/>
        <rFont val="Noto Sans JP"/>
        <family val="2"/>
        <charset val="128"/>
      </rPr>
      <t xml:space="preserve">個入 </t>
    </r>
    <r>
      <rPr>
        <sz val="9"/>
        <rFont val="Arial"/>
        <family val="0"/>
        <charset val="1"/>
      </rPr>
      <t xml:space="preserve">¥150 </t>
    </r>
    <r>
      <rPr>
        <sz val="9"/>
        <rFont val="Noto Sans JP"/>
        <family val="2"/>
        <charset val="128"/>
      </rPr>
      <t xml:space="preserve">があるが、</t>
    </r>
    <r>
      <rPr>
        <sz val="9"/>
        <rFont val="Arial"/>
        <family val="0"/>
        <charset val="1"/>
      </rPr>
      <t xml:space="preserve">22kΩ</t>
    </r>
    <r>
      <rPr>
        <sz val="9"/>
        <rFont val="Noto Sans JP"/>
        <family val="2"/>
        <charset val="128"/>
      </rPr>
      <t xml:space="preserve">・</t>
    </r>
    <r>
      <rPr>
        <sz val="9"/>
        <rFont val="Arial"/>
        <family val="0"/>
        <charset val="1"/>
      </rPr>
      <t xml:space="preserve">120Ω</t>
    </r>
    <r>
      <rPr>
        <sz val="9"/>
        <rFont val="Noto Sans JP"/>
        <family val="2"/>
        <charset val="128"/>
      </rPr>
      <t xml:space="preserve">・</t>
    </r>
    <r>
      <rPr>
        <sz val="9"/>
        <rFont val="Arial"/>
        <family val="0"/>
        <charset val="1"/>
      </rPr>
      <t xml:space="preserve">1kΩ</t>
    </r>
    <r>
      <rPr>
        <sz val="9"/>
        <rFont val="Noto Sans JP"/>
        <family val="2"/>
        <charset val="128"/>
      </rPr>
      <t xml:space="preserve">は</t>
    </r>
    <r>
      <rPr>
        <sz val="9"/>
        <rFont val="Arial"/>
        <family val="0"/>
        <charset val="1"/>
      </rPr>
      <t xml:space="preserve">5000</t>
    </r>
    <r>
      <rPr>
        <sz val="9"/>
        <rFont val="Noto Sans JP"/>
        <family val="2"/>
        <charset val="128"/>
      </rPr>
      <t xml:space="preserve">個リール</t>
    </r>
    <r>
      <rPr>
        <sz val="9"/>
        <rFont val="Arial"/>
        <family val="0"/>
        <charset val="1"/>
      </rPr>
      <t xml:space="preserve">(¥980)</t>
    </r>
    <r>
      <rPr>
        <sz val="9"/>
        <rFont val="Noto Sans JP"/>
        <family val="2"/>
        <charset val="128"/>
      </rPr>
      <t xml:space="preserve">しかない。この</t>
    </r>
    <r>
      <rPr>
        <sz val="9"/>
        <rFont val="Arial"/>
        <family val="0"/>
        <charset val="1"/>
      </rPr>
      <t xml:space="preserve">3</t>
    </r>
    <r>
      <rPr>
        <sz val="9"/>
        <rFont val="Noto Sans JP"/>
        <family val="2"/>
        <charset val="128"/>
      </rPr>
      <t xml:space="preserve">点はマルツで単品購入する方が現実的。</t>
    </r>
  </si>
  <si>
    <t xml:space="preserve">手はんだ</t>
  </si>
  <si>
    <r>
      <rPr>
        <b val="true"/>
        <sz val="9"/>
        <rFont val="Arial"/>
        <family val="0"/>
        <charset val="1"/>
      </rPr>
      <t xml:space="preserve">U2 MCP25625</t>
    </r>
    <r>
      <rPr>
        <b val="true"/>
        <sz val="9"/>
        <rFont val="Noto Sans JP"/>
        <family val="2"/>
        <charset val="128"/>
      </rPr>
      <t xml:space="preserve">（</t>
    </r>
    <r>
      <rPr>
        <b val="true"/>
        <sz val="9"/>
        <rFont val="Arial"/>
        <family val="0"/>
        <charset val="1"/>
      </rPr>
      <t xml:space="preserve">SSOP-28 0.65mm</t>
    </r>
    <r>
      <rPr>
        <b val="true"/>
        <sz val="9"/>
        <rFont val="Noto Sans JP"/>
        <family val="2"/>
        <charset val="128"/>
      </rPr>
      <t xml:space="preserve">ピッチ）</t>
    </r>
  </si>
  <si>
    <t xml:space="preserve">最難関。フラックスと引きはんだを推奨。</t>
  </si>
  <si>
    <r>
      <rPr>
        <b val="true"/>
        <sz val="9"/>
        <rFont val="Arial"/>
        <family val="0"/>
        <charset val="1"/>
      </rPr>
      <t xml:space="preserve">J2 microSD</t>
    </r>
    <r>
      <rPr>
        <b val="true"/>
        <sz val="9"/>
        <rFont val="Noto Sans JP"/>
        <family val="2"/>
        <charset val="128"/>
      </rPr>
      <t xml:space="preserve">コネクタ</t>
    </r>
  </si>
  <si>
    <t xml:space="preserve">端子が細かく、シェル脚は熱容量が大きい。</t>
  </si>
  <si>
    <r>
      <rPr>
        <b val="true"/>
        <sz val="9"/>
        <rFont val="Arial"/>
        <family val="0"/>
        <charset val="1"/>
      </rPr>
      <t xml:space="preserve">D6 </t>
    </r>
    <r>
      <rPr>
        <b val="true"/>
        <sz val="9"/>
        <rFont val="Noto Sans JP"/>
        <family val="2"/>
        <charset val="128"/>
      </rPr>
      <t xml:space="preserve">サイドビュー</t>
    </r>
    <r>
      <rPr>
        <b val="true"/>
        <sz val="9"/>
        <rFont val="Arial"/>
        <family val="0"/>
        <charset val="1"/>
      </rPr>
      <t xml:space="preserve">LED</t>
    </r>
  </si>
  <si>
    <r>
      <rPr>
        <sz val="9"/>
        <rFont val="Noto Sans JP"/>
        <family val="2"/>
        <charset val="128"/>
      </rPr>
      <t xml:space="preserve">基板端（</t>
    </r>
    <r>
      <rPr>
        <sz val="9"/>
        <rFont val="Arial"/>
        <family val="0"/>
        <charset val="1"/>
      </rPr>
      <t xml:space="preserve">y=61</t>
    </r>
    <r>
      <rPr>
        <sz val="9"/>
        <rFont val="Noto Sans JP"/>
        <family val="2"/>
        <charset val="128"/>
      </rPr>
      <t xml:space="preserve">）に置くため位置決めがシビア。</t>
    </r>
  </si>
  <si>
    <r>
      <rPr>
        <b val="true"/>
        <sz val="9"/>
        <rFont val="Arial"/>
        <family val="0"/>
        <charset val="1"/>
      </rPr>
      <t xml:space="preserve">GND</t>
    </r>
    <r>
      <rPr>
        <b val="true"/>
        <sz val="9"/>
        <rFont val="Noto Sans JP"/>
        <family val="2"/>
        <charset val="128"/>
      </rPr>
      <t xml:space="preserve">パッドはサーマル接続になった</t>
    </r>
  </si>
  <si>
    <r>
      <rPr>
        <sz val="9"/>
        <rFont val="Arial"/>
        <family val="0"/>
        <charset val="1"/>
      </rPr>
      <t xml:space="preserve">v2</t>
    </r>
    <r>
      <rPr>
        <sz val="9"/>
        <rFont val="Noto Sans JP"/>
        <family val="2"/>
        <charset val="128"/>
      </rPr>
      <t xml:space="preserve">で全ゾーンをサーマル接続（スポーク</t>
    </r>
    <r>
      <rPr>
        <sz val="9"/>
        <rFont val="Arial"/>
        <family val="0"/>
        <charset val="1"/>
      </rPr>
      <t xml:space="preserve">0.4mm/</t>
    </r>
    <r>
      <rPr>
        <sz val="9"/>
        <rFont val="Noto Sans JP"/>
        <family val="2"/>
        <charset val="128"/>
      </rPr>
      <t xml:space="preserve">ギャップ</t>
    </r>
    <r>
      <rPr>
        <sz val="9"/>
        <rFont val="Arial"/>
        <family val="0"/>
        <charset val="1"/>
      </rPr>
      <t xml:space="preserve">0.3mm</t>
    </r>
    <r>
      <rPr>
        <sz val="9"/>
        <rFont val="Noto Sans JP"/>
        <family val="2"/>
        <charset val="128"/>
      </rPr>
      <t xml:space="preserve">）に変更。</t>
    </r>
    <r>
      <rPr>
        <sz val="9"/>
        <rFont val="Arial"/>
        <family val="0"/>
        <charset val="1"/>
      </rPr>
      <t xml:space="preserve">v1</t>
    </r>
    <r>
      <rPr>
        <sz val="9"/>
        <rFont val="Noto Sans JP"/>
        <family val="2"/>
        <charset val="128"/>
      </rPr>
      <t xml:space="preserve">のベタ直結（</t>
    </r>
    <r>
      <rPr>
        <sz val="9"/>
        <rFont val="Arial"/>
        <family val="0"/>
        <charset val="1"/>
      </rPr>
      <t xml:space="preserve">GND</t>
    </r>
    <r>
      <rPr>
        <sz val="9"/>
        <rFont val="Noto Sans JP"/>
        <family val="2"/>
        <charset val="128"/>
      </rPr>
      <t xml:space="preserve">ピンだけ異様に熱を食う）は解消済みで、通常のこて先温度で作業できる。</t>
    </r>
  </si>
  <si>
    <r>
      <rPr>
        <b val="true"/>
        <sz val="9"/>
        <color rgb="FF1F4E79"/>
        <rFont val="Arial"/>
        <family val="0"/>
        <charset val="1"/>
      </rPr>
      <t xml:space="preserve">BOM</t>
    </r>
    <r>
      <rPr>
        <b val="true"/>
        <sz val="9"/>
        <color rgb="FF1F4E79"/>
        <rFont val="Noto Sans JP"/>
        <family val="2"/>
        <charset val="128"/>
      </rPr>
      <t xml:space="preserve">外</t>
    </r>
  </si>
  <si>
    <r>
      <rPr>
        <b val="true"/>
        <sz val="9"/>
        <rFont val="Arial"/>
        <family val="0"/>
        <charset val="1"/>
      </rPr>
      <t xml:space="preserve">Pico</t>
    </r>
    <r>
      <rPr>
        <b val="true"/>
        <sz val="9"/>
        <rFont val="Noto Sans JP"/>
        <family val="2"/>
        <charset val="128"/>
      </rPr>
      <t xml:space="preserve">のソケットが要る</t>
    </r>
  </si>
  <si>
    <r>
      <rPr>
        <sz val="9"/>
        <rFont val="Arial"/>
        <family val="0"/>
        <charset val="1"/>
      </rPr>
      <t xml:space="preserve">Pico</t>
    </r>
    <r>
      <rPr>
        <sz val="9"/>
        <rFont val="Noto Sans JP"/>
        <family val="2"/>
        <charset val="128"/>
      </rPr>
      <t xml:space="preserve">をソケット実装する設計なので、基板側に</t>
    </r>
    <r>
      <rPr>
        <sz val="9"/>
        <rFont val="Arial"/>
        <family val="0"/>
        <charset val="1"/>
      </rPr>
      <t xml:space="preserve">1×20</t>
    </r>
    <r>
      <rPr>
        <sz val="9"/>
        <rFont val="Noto Sans JP"/>
        <family val="2"/>
        <charset val="128"/>
      </rPr>
      <t xml:space="preserve">メスピンソケットが</t>
    </r>
    <r>
      <rPr>
        <sz val="9"/>
        <rFont val="Arial"/>
        <family val="0"/>
        <charset val="1"/>
      </rPr>
      <t xml:space="preserve">2</t>
    </r>
    <r>
      <rPr>
        <sz val="9"/>
        <rFont val="Noto Sans JP"/>
        <family val="2"/>
        <charset val="128"/>
      </rPr>
      <t xml:space="preserve">本必要。分割ロングピンソケット</t>
    </r>
    <r>
      <rPr>
        <sz val="9"/>
        <rFont val="Arial"/>
        <family val="0"/>
        <charset val="1"/>
      </rPr>
      <t xml:space="preserve">1×42(105779)</t>
    </r>
    <r>
      <rPr>
        <sz val="9"/>
        <rFont val="Noto Sans JP"/>
        <family val="2"/>
        <charset val="128"/>
      </rPr>
      <t xml:space="preserve">を切って使う。</t>
    </r>
    <r>
      <rPr>
        <sz val="9"/>
        <rFont val="Arial"/>
        <family val="0"/>
        <charset val="1"/>
      </rPr>
      <t xml:space="preserve">Pico</t>
    </r>
    <r>
      <rPr>
        <sz val="9"/>
        <rFont val="Noto Sans JP"/>
        <family val="2"/>
        <charset val="128"/>
      </rPr>
      <t xml:space="preserve">側のオスヘッダは</t>
    </r>
    <r>
      <rPr>
        <sz val="9"/>
        <rFont val="Arial"/>
        <family val="0"/>
        <charset val="1"/>
      </rPr>
      <t xml:space="preserve">Pico 2 H(130982)</t>
    </r>
    <r>
      <rPr>
        <sz val="9"/>
        <rFont val="Noto Sans JP"/>
        <family val="2"/>
        <charset val="128"/>
      </rPr>
      <t xml:space="preserve">を買えば実装済みで不要。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</si>
</sst>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4"/>
      <name val="Arial"/>
      <family val="0"/>
      <charset val="1"/>
    </font>
    <font>
      <b val="true"/>
      <sz val="14"/>
      <name val="Noto Sans JP"/>
      <family val="2"/>
      <charset val="128"/>
    </font>
    <font>
      <i val="true"/>
      <sz val="9"/>
      <color rgb="FF555555"/>
      <name val="Noto Sans JP"/>
      <family val="2"/>
      <charset val="128"/>
    </font>
    <font>
      <i val="true"/>
      <sz val="9"/>
      <color rgb="FF555555"/>
      <name val="Arial"/>
      <family val="0"/>
      <charset val="1"/>
    </font>
    <font>
      <b val="true"/>
      <sz val="9"/>
      <color rgb="FF1F4E79"/>
      <name val="Noto Sans JP"/>
      <family val="2"/>
      <charset val="128"/>
    </font>
    <font>
      <b val="true"/>
      <sz val="9"/>
      <color rgb="FF1F4E79"/>
      <name val="Arial"/>
      <family val="0"/>
      <charset val="1"/>
    </font>
    <font>
      <b val="true"/>
      <sz val="10"/>
      <color rgb="FFFFFFFF"/>
      <name val="Noto Sans JP"/>
      <family val="2"/>
      <charset val="128"/>
    </font>
    <font>
      <b val="true"/>
      <sz val="10"/>
      <color rgb="FFFFFFFF"/>
      <name val="Arial"/>
      <family val="0"/>
      <charset val="1"/>
    </font>
    <font>
      <b val="true"/>
      <sz val="9"/>
      <name val="Noto Sans JP"/>
      <family val="2"/>
      <charset val="128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name val="Noto Sans JP"/>
      <family val="2"/>
      <charset val="128"/>
    </font>
    <font>
      <sz val="9"/>
      <color rgb="FF999999"/>
      <name val="Noto Sans JP"/>
      <family val="2"/>
      <charset val="128"/>
    </font>
    <font>
      <sz val="9"/>
      <color rgb="FFC00000"/>
      <name val="Arial"/>
      <family val="0"/>
      <charset val="1"/>
    </font>
    <font>
      <sz val="9"/>
      <color rgb="FFC00000"/>
      <name val="Noto Sans JP"/>
      <family val="2"/>
      <charset val="128"/>
    </font>
    <font>
      <b val="true"/>
      <sz val="9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28"/>
    </font>
    <font>
      <b val="true"/>
      <sz val="11"/>
      <color theme="1"/>
      <name val="Calibri"/>
      <family val="2"/>
      <charset val="1"/>
    </font>
    <font>
      <u val="single"/>
      <sz val="9"/>
      <color rgb="FF0563C1"/>
      <name val="Noto Sans JP"/>
      <family val="2"/>
      <charset val="128"/>
    </font>
    <font>
      <b val="true"/>
      <sz val="10"/>
      <name val="Noto Sans JP"/>
      <family val="2"/>
      <charset val="128"/>
    </font>
    <font>
      <b val="true"/>
      <sz val="10"/>
      <name val="Arial"/>
      <family val="0"/>
      <charset val="1"/>
    </font>
    <font>
      <b val="true"/>
      <sz val="9"/>
      <color rgb="FFC00000"/>
      <name val="Noto Sans JP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7FB"/>
        <bgColor rgb="FFFFFFFF"/>
      </patternFill>
    </fill>
    <fill>
      <patternFill patternType="solid">
        <fgColor rgb="FF81D41A"/>
        <bgColor rgb="FF999999"/>
      </patternFill>
    </fill>
    <fill>
      <patternFill patternType="solid">
        <fgColor rgb="FFFFFFFF"/>
        <bgColor rgb="FFF2F7FB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81D41A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kizukidenshi.com/catalog/g/g130357/" TargetMode="External"/><Relationship Id="rId2" Type="http://schemas.openxmlformats.org/officeDocument/2006/relationships/hyperlink" Target="https://www.marutsu.co.jp/GoodsListNavi.jsp?q=RC0603FR-07100KL" TargetMode="External"/><Relationship Id="rId3" Type="http://schemas.openxmlformats.org/officeDocument/2006/relationships/hyperlink" Target="https://www.marutsu.co.jp/GoodsListNavi.jsp?q=RC0603FR-0722KL" TargetMode="External"/><Relationship Id="rId4" Type="http://schemas.openxmlformats.org/officeDocument/2006/relationships/hyperlink" Target="https://akizukidenshi.com/catalog/g/g130355/" TargetMode="External"/><Relationship Id="rId5" Type="http://schemas.openxmlformats.org/officeDocument/2006/relationships/hyperlink" Target="https://www.marutsu.co.jp/GoodsListNavi.jsp?q=RC0603FR-0710KL" TargetMode="External"/><Relationship Id="rId6" Type="http://schemas.openxmlformats.org/officeDocument/2006/relationships/hyperlink" Target="https://akizukidenshi.com/catalog/g/g130332/" TargetMode="External"/><Relationship Id="rId7" Type="http://schemas.openxmlformats.org/officeDocument/2006/relationships/hyperlink" Target="https://www.marutsu.co.jp/GoodsListNavi.jsp?q=RC0603FR-07120RL" TargetMode="External"/><Relationship Id="rId8" Type="http://schemas.openxmlformats.org/officeDocument/2006/relationships/hyperlink" Target="https://akizukidenshi.com/catalog/g/g114122/" TargetMode="External"/><Relationship Id="rId9" Type="http://schemas.openxmlformats.org/officeDocument/2006/relationships/hyperlink" Target="https://www.marutsu.co.jp/GoodsListNavi.jsp?q=RC0603FR-071KL" TargetMode="External"/><Relationship Id="rId10" Type="http://schemas.openxmlformats.org/officeDocument/2006/relationships/hyperlink" Target="https://akizukidenshi.com/catalog/g/g114559/" TargetMode="External"/><Relationship Id="rId11" Type="http://schemas.openxmlformats.org/officeDocument/2006/relationships/hyperlink" Target="https://www.marutsu.co.jp/GoodsListNavi.jsp?q=CC0603KRX7R9BB104" TargetMode="External"/><Relationship Id="rId12" Type="http://schemas.openxmlformats.org/officeDocument/2006/relationships/hyperlink" Target="https://www.akizukidenshi.com/catalog/g/gP-11626/" TargetMode="External"/><Relationship Id="rId13" Type="http://schemas.openxmlformats.org/officeDocument/2006/relationships/hyperlink" Target="https://www.marutsu.co.jp/GoodsListNavi.jsp?q=CC0603JRNPO9BN220" TargetMode="External"/><Relationship Id="rId14" Type="http://schemas.openxmlformats.org/officeDocument/2006/relationships/hyperlink" Target="https://akizukidenshi.com/catalog/g/g113161/" TargetMode="External"/><Relationship Id="rId15" Type="http://schemas.openxmlformats.org/officeDocument/2006/relationships/hyperlink" Target="https://www.marutsu.co.jp/GoodsListNavi.jsp?q=GRM188R61E106KA73D" TargetMode="External"/><Relationship Id="rId16" Type="http://schemas.openxmlformats.org/officeDocument/2006/relationships/hyperlink" Target="https://www.mouser.com/ProductDetail/Murata-Electronics/GRM188R61E106KA73D?qs=5aG0NVq1C4z8ebxPkQZf9A%3D%3D" TargetMode="External"/><Relationship Id="rId17" Type="http://schemas.openxmlformats.org/officeDocument/2006/relationships/hyperlink" Target="https://www.digikey.com/en/products/detail/murata-electronics/GRM188R61E106KA73D/9867922" TargetMode="External"/><Relationship Id="rId18" Type="http://schemas.openxmlformats.org/officeDocument/2006/relationships/hyperlink" Target="https://www.marutsu.co.jp/GoodsListNavi.jsp?q=1N5819HW-7-F" TargetMode="External"/><Relationship Id="rId19" Type="http://schemas.openxmlformats.org/officeDocument/2006/relationships/hyperlink" Target="https://www.mouser.com/ProductDetail/Diodes-Incorporated/1N5819HW-7-F?qs=NQ47qNm99eDyWTEd07miYA%3D%3D" TargetMode="External"/><Relationship Id="rId20" Type="http://schemas.openxmlformats.org/officeDocument/2006/relationships/hyperlink" Target="https://www.digikey.com/product-detail/en/1N5819HW-7-F/1N5819HW-FDICT-ND/815283" TargetMode="External"/><Relationship Id="rId21" Type="http://schemas.openxmlformats.org/officeDocument/2006/relationships/hyperlink" Target="https://www.marutsu.co.jp/pc/i/2079887/" TargetMode="External"/><Relationship Id="rId22" Type="http://schemas.openxmlformats.org/officeDocument/2006/relationships/hyperlink" Target="https://www.mouser.com/" TargetMode="External"/><Relationship Id="rId23" Type="http://schemas.openxmlformats.org/officeDocument/2006/relationships/hyperlink" Target="https://www.digikey.com/en/products/detail/littelfuse-inc/SMAJ16A/762278" TargetMode="External"/><Relationship Id="rId24" Type="http://schemas.openxmlformats.org/officeDocument/2006/relationships/hyperlink" Target="https://akizukidenshi.com/catalog/g/g116854/" TargetMode="External"/><Relationship Id="rId25" Type="http://schemas.openxmlformats.org/officeDocument/2006/relationships/hyperlink" Target="https://www.marutsu.co.jp/GoodsListNavi.jsp?q=1206L110" TargetMode="External"/><Relationship Id="rId26" Type="http://schemas.openxmlformats.org/officeDocument/2006/relationships/hyperlink" Target="https://www.mouser.com/" TargetMode="External"/><Relationship Id="rId27" Type="http://schemas.openxmlformats.org/officeDocument/2006/relationships/hyperlink" Target="https://www.digikey.com/en/products/detail/littelfuse-inc/1206L110-16WR/3997167" TargetMode="External"/><Relationship Id="rId28" Type="http://schemas.openxmlformats.org/officeDocument/2006/relationships/hyperlink" Target="https://akizukidenshi.com/catalog/g/g105969/" TargetMode="External"/><Relationship Id="rId29" Type="http://schemas.openxmlformats.org/officeDocument/2006/relationships/hyperlink" Target="https://www.marutsu.co.jp/GoodsListNavi.jsp?q=MMBT3904" TargetMode="External"/><Relationship Id="rId30" Type="http://schemas.openxmlformats.org/officeDocument/2006/relationships/hyperlink" Target="https://www.mouser.com/ProductDetail/onsemi/MMBT3904?qs=UMEuL5FsraCg3xKjS4uBJQ%3D%3D" TargetMode="External"/><Relationship Id="rId31" Type="http://schemas.openxmlformats.org/officeDocument/2006/relationships/hyperlink" Target="https://www.digikey.com/en/products/detail/onsemi/MMBT3904/458868" TargetMode="External"/><Relationship Id="rId32" Type="http://schemas.openxmlformats.org/officeDocument/2006/relationships/hyperlink" Target="https://www.marutsu.co.jp/GoodsListNavi.jsp?q=ZXMP6A17E6QTA" TargetMode="External"/><Relationship Id="rId33" Type="http://schemas.openxmlformats.org/officeDocument/2006/relationships/hyperlink" Target="https://www.mouser.com/ProductDetail/Diodes-Incorporated/ZXMP6A17E6QTA?qs=JtunSoW0QGE6mLYIV79weA%3D%3D" TargetMode="External"/><Relationship Id="rId34" Type="http://schemas.openxmlformats.org/officeDocument/2006/relationships/hyperlink" Target="https://www.digikey.com/en/products/detail/diodes-incorporated/ZXMP6A17E6QTA/4810942" TargetMode="External"/><Relationship Id="rId35" Type="http://schemas.openxmlformats.org/officeDocument/2006/relationships/hyperlink" Target="https://www.marutsu.co.jp/GoodsListNavi.jsp?q=AP63205WU-7" TargetMode="External"/><Relationship Id="rId36" Type="http://schemas.openxmlformats.org/officeDocument/2006/relationships/hyperlink" Target="https://www.mouser.com/ProductDetail/Diodes-Incorporated/AP63205WU-7?qs=u16ybLDytRZtkj8PzdWCOw%3D%3D" TargetMode="External"/><Relationship Id="rId37" Type="http://schemas.openxmlformats.org/officeDocument/2006/relationships/hyperlink" Target="https://www.digikey.com/en/products/detail/diodes-incorporated/AP63205WU-7/9858424" TargetMode="External"/><Relationship Id="rId38" Type="http://schemas.openxmlformats.org/officeDocument/2006/relationships/hyperlink" Target="https://www.marutsu.co.jp/GoodsListNavi.jsp?q=ASPI-4030S-6R8M" TargetMode="External"/><Relationship Id="rId39" Type="http://schemas.openxmlformats.org/officeDocument/2006/relationships/hyperlink" Target="https://www.mouser.com/ProductDetail/ABRACON/ASPI-4030S-6R8M-T?qs=BLmuIjeT3qE8jeo8oUT4Iw%3D%3D" TargetMode="External"/><Relationship Id="rId40" Type="http://schemas.openxmlformats.org/officeDocument/2006/relationships/hyperlink" Target="https://www.marutsu.co.jp/GoodsListNavi.jsp?q=GRM31CR71H106KA12" TargetMode="External"/><Relationship Id="rId41" Type="http://schemas.openxmlformats.org/officeDocument/2006/relationships/hyperlink" Target="https://www.mouser.jp/en/ProductDetail/TDK/CNA5L1X7R1H106K160AE?qs=Y0Uzf4wQF3kvAkifwkQiJA%3D%3D" TargetMode="External"/><Relationship Id="rId42" Type="http://schemas.openxmlformats.org/officeDocument/2006/relationships/hyperlink" Target="https://www.marutsu.co.jp/GoodsListNavi.jsp?q=GRM21BR61C226ME44" TargetMode="External"/><Relationship Id="rId43" Type="http://schemas.openxmlformats.org/officeDocument/2006/relationships/hyperlink" Target="https://www.mouser.jp/en/ProductDetail/Murata/GXT21BR61C226ME13L?qs=d0WKAl%252BL4Kb74FO4906dbA%3D%3D" TargetMode="External"/><Relationship Id="rId44" Type="http://schemas.openxmlformats.org/officeDocument/2006/relationships/hyperlink" Target="https://www.marutsu.co.jp/GoodsListNavi.jsp?q=GRM21BR71H104KA01" TargetMode="External"/><Relationship Id="rId45" Type="http://schemas.openxmlformats.org/officeDocument/2006/relationships/hyperlink" Target="https://www.mouser.jp/en/ProductDetail/KYOCERA-AVX/KAF21BR71H104KM?qs=Jm2GQyTW%2FbhmrEcuwq3xrw%3D%3D" TargetMode="External"/><Relationship Id="rId46" Type="http://schemas.openxmlformats.org/officeDocument/2006/relationships/hyperlink" Target="https://akizukidenshi.com/catalog/g/g112663/" TargetMode="External"/><Relationship Id="rId47" Type="http://schemas.openxmlformats.org/officeDocument/2006/relationships/hyperlink" Target="https://www.marutsu.co.jp/GoodsListNavi.jsp?q=MCP25625" TargetMode="External"/><Relationship Id="rId48" Type="http://schemas.openxmlformats.org/officeDocument/2006/relationships/hyperlink" Target="https://www.mouser.com/ProductDetail/Microchip-Technology/MCP25625T-E-SS?qs=YlpJWyuQ3PP8xO0AA8P3ZQ%3D%3D" TargetMode="External"/><Relationship Id="rId49" Type="http://schemas.openxmlformats.org/officeDocument/2006/relationships/hyperlink" Target="https://www.digikey.com/en/products/detail/microchip-technology/MCP25625T-E-SS/4860100" TargetMode="External"/><Relationship Id="rId50" Type="http://schemas.openxmlformats.org/officeDocument/2006/relationships/hyperlink" Target="https://akizukidenshi.com/catalog/g/g130982/" TargetMode="External"/><Relationship Id="rId51" Type="http://schemas.openxmlformats.org/officeDocument/2006/relationships/hyperlink" Target="https://www.marutsu.co.jp/GoodsListNavi.jsp?q=Raspberry+Pi+Pico+2" TargetMode="External"/><Relationship Id="rId52" Type="http://schemas.openxmlformats.org/officeDocument/2006/relationships/hyperlink" Target="https://www.marutsu.co.jp/GoodsListNavi.jsp?q=1-967658-1" TargetMode="External"/><Relationship Id="rId53" Type="http://schemas.openxmlformats.org/officeDocument/2006/relationships/hyperlink" Target="https://www.mouser.jp/en/ProductDetail/TE-Connectivity-AMP/1-967658-1?qs=6Z%252BHCgJKjncTVf7nPH%2FL8g%3D%3D" TargetMode="External"/><Relationship Id="rId54" Type="http://schemas.openxmlformats.org/officeDocument/2006/relationships/hyperlink" Target="https://www.digikey.be/en/products/detail/te-connectivity-amp-connectors/1-967658-1/10478177" TargetMode="External"/><Relationship Id="rId55" Type="http://schemas.openxmlformats.org/officeDocument/2006/relationships/hyperlink" Target="https://www.marutsu.co.jp/pc/i/2571574/" TargetMode="External"/><Relationship Id="rId56" Type="http://schemas.openxmlformats.org/officeDocument/2006/relationships/hyperlink" Target="https://www.mouser.com/ProductDetail/Hirose-Connector/DM3AT-SF-PEJM5?qs=LZSZKJVF+2WTDKp+R7IYAQ%3D%3D" TargetMode="External"/><Relationship Id="rId57" Type="http://schemas.openxmlformats.org/officeDocument/2006/relationships/hyperlink" Target="https://www.digikey.com/en/products/detail/hirose-electric-co-ltd/DM3AT-SF-PEJM5/2533565" TargetMode="External"/><Relationship Id="rId58" Type="http://schemas.openxmlformats.org/officeDocument/2006/relationships/hyperlink" Target="https://akizukidenshi.com/catalog/g/g117980/" TargetMode="External"/><Relationship Id="rId59" Type="http://schemas.openxmlformats.org/officeDocument/2006/relationships/hyperlink" Target="https://www.marutsu.co.jp/GoodsListNavi.jsp?q=GT-502MGG-N" TargetMode="External"/><Relationship Id="rId60" Type="http://schemas.openxmlformats.org/officeDocument/2006/relationships/hyperlink" Target="https://www.digikey.jp/ja/products/detail/yic/GT-502MGG-N/16499054" TargetMode="External"/><Relationship Id="rId61" Type="http://schemas.openxmlformats.org/officeDocument/2006/relationships/hyperlink" Target="https://akizukidenshi.com/catalog/g/g108671/" TargetMode="External"/><Relationship Id="rId62" Type="http://schemas.openxmlformats.org/officeDocument/2006/relationships/hyperlink" Target="https://www.marutsu.co.jp/GoodsListNavi.jsp?q=16MHz+HC-49" TargetMode="External"/><Relationship Id="rId63" Type="http://schemas.openxmlformats.org/officeDocument/2006/relationships/hyperlink" Target="https://akizukidenshi.com/catalog/g/g105779/" TargetMode="External"/><Relationship Id="rId6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38" activeCellId="0" sqref="H38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27.3"/>
    <col collapsed="false" customWidth="true" hidden="false" outlineLevel="0" max="3" min="3" style="0" width="18.2"/>
    <col collapsed="false" customWidth="true" hidden="false" outlineLevel="0" max="4" min="4" style="0" width="5.46"/>
    <col collapsed="false" customWidth="true" hidden="false" outlineLevel="0" max="5" min="5" style="0" width="18.2"/>
    <col collapsed="false" customWidth="true" hidden="false" outlineLevel="0" max="6" min="6" style="0" width="27.3"/>
    <col collapsed="false" customWidth="true" hidden="false" outlineLevel="0" max="7" min="7" style="0" width="23.66"/>
    <col collapsed="false" customWidth="true" hidden="false" outlineLevel="0" max="8" min="8" style="0" width="20.01"/>
    <col collapsed="false" customWidth="true" hidden="false" outlineLevel="0" max="9" min="9" style="0" width="23.66"/>
    <col collapsed="false" customWidth="true" hidden="false" outlineLevel="0" max="10" min="10" style="0" width="41.85"/>
    <col collapsed="false" customWidth="true" hidden="false" outlineLevel="0" max="11" min="11" style="0" width="7.28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  <c r="I5" s="5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6" t="s">
        <v>14</v>
      </c>
      <c r="B6" s="7" t="s">
        <v>15</v>
      </c>
      <c r="C6" s="7" t="s">
        <v>16</v>
      </c>
      <c r="D6" s="8" t="n">
        <v>3</v>
      </c>
      <c r="E6" s="7" t="s">
        <v>17</v>
      </c>
      <c r="F6" s="9" t="s">
        <v>18</v>
      </c>
      <c r="G6" s="9" t="s">
        <v>19</v>
      </c>
      <c r="H6" s="10"/>
      <c r="I6" s="10"/>
      <c r="J6" s="11"/>
      <c r="K6" s="12"/>
    </row>
    <row r="7" customFormat="false" ht="15" hidden="false" customHeight="false" outlineLevel="0" collapsed="false">
      <c r="A7" s="13" t="s">
        <v>14</v>
      </c>
      <c r="B7" s="14" t="s">
        <v>20</v>
      </c>
      <c r="C7" s="14" t="s">
        <v>16</v>
      </c>
      <c r="D7" s="15" t="n">
        <v>1</v>
      </c>
      <c r="E7" s="14" t="s">
        <v>21</v>
      </c>
      <c r="F7" s="16" t="s">
        <v>22</v>
      </c>
      <c r="G7" s="17" t="s">
        <v>23</v>
      </c>
      <c r="H7" s="18"/>
      <c r="I7" s="18"/>
      <c r="J7" s="19" t="s">
        <v>24</v>
      </c>
      <c r="K7" s="12"/>
    </row>
    <row r="8" customFormat="false" ht="15" hidden="false" customHeight="false" outlineLevel="0" collapsed="false">
      <c r="A8" s="6" t="s">
        <v>14</v>
      </c>
      <c r="B8" s="7" t="s">
        <v>25</v>
      </c>
      <c r="C8" s="7" t="s">
        <v>16</v>
      </c>
      <c r="D8" s="8" t="n">
        <v>7</v>
      </c>
      <c r="E8" s="7" t="s">
        <v>26</v>
      </c>
      <c r="F8" s="9" t="s">
        <v>27</v>
      </c>
      <c r="G8" s="9" t="s">
        <v>28</v>
      </c>
      <c r="H8" s="10"/>
      <c r="I8" s="10"/>
      <c r="J8" s="11"/>
      <c r="K8" s="12"/>
    </row>
    <row r="9" customFormat="false" ht="15" hidden="false" customHeight="false" outlineLevel="0" collapsed="false">
      <c r="A9" s="13" t="s">
        <v>14</v>
      </c>
      <c r="B9" s="14" t="s">
        <v>29</v>
      </c>
      <c r="C9" s="14" t="s">
        <v>16</v>
      </c>
      <c r="D9" s="15" t="n">
        <v>1</v>
      </c>
      <c r="E9" s="14" t="s">
        <v>30</v>
      </c>
      <c r="F9" s="17" t="s">
        <v>31</v>
      </c>
      <c r="G9" s="17" t="s">
        <v>32</v>
      </c>
      <c r="H9" s="18"/>
      <c r="I9" s="18"/>
      <c r="J9" s="19" t="s">
        <v>33</v>
      </c>
      <c r="K9" s="12"/>
    </row>
    <row r="10" customFormat="false" ht="15" hidden="false" customHeight="false" outlineLevel="0" collapsed="false">
      <c r="A10" s="6" t="s">
        <v>14</v>
      </c>
      <c r="B10" s="7" t="s">
        <v>34</v>
      </c>
      <c r="C10" s="7" t="s">
        <v>16</v>
      </c>
      <c r="D10" s="8" t="n">
        <v>1</v>
      </c>
      <c r="E10" s="7" t="s">
        <v>35</v>
      </c>
      <c r="F10" s="9" t="s">
        <v>36</v>
      </c>
      <c r="G10" s="9" t="s">
        <v>37</v>
      </c>
      <c r="H10" s="10"/>
      <c r="I10" s="10"/>
      <c r="J10" s="11" t="s">
        <v>33</v>
      </c>
      <c r="K10" s="12"/>
    </row>
    <row r="11" customFormat="false" ht="15" hidden="false" customHeight="false" outlineLevel="0" collapsed="false">
      <c r="A11" s="13" t="s">
        <v>38</v>
      </c>
      <c r="B11" s="14" t="s">
        <v>39</v>
      </c>
      <c r="C11" s="14" t="s">
        <v>16</v>
      </c>
      <c r="D11" s="15" t="n">
        <v>5</v>
      </c>
      <c r="E11" s="14" t="s">
        <v>40</v>
      </c>
      <c r="F11" s="17" t="s">
        <v>41</v>
      </c>
      <c r="G11" s="17" t="s">
        <v>42</v>
      </c>
      <c r="H11" s="18"/>
      <c r="I11" s="18"/>
      <c r="J11" s="20" t="s">
        <v>43</v>
      </c>
      <c r="K11" s="12"/>
    </row>
    <row r="12" customFormat="false" ht="15" hidden="false" customHeight="false" outlineLevel="0" collapsed="false">
      <c r="A12" s="6" t="s">
        <v>38</v>
      </c>
      <c r="B12" s="7" t="s">
        <v>44</v>
      </c>
      <c r="C12" s="7" t="s">
        <v>16</v>
      </c>
      <c r="D12" s="8" t="n">
        <v>2</v>
      </c>
      <c r="E12" s="7" t="s">
        <v>45</v>
      </c>
      <c r="F12" s="9" t="s">
        <v>46</v>
      </c>
      <c r="G12" s="9" t="s">
        <v>47</v>
      </c>
      <c r="H12" s="10"/>
      <c r="I12" s="10"/>
      <c r="J12" s="11" t="s">
        <v>48</v>
      </c>
      <c r="K12" s="12"/>
    </row>
    <row r="13" customFormat="false" ht="23.85" hidden="false" customHeight="false" outlineLevel="0" collapsed="false">
      <c r="A13" s="13" t="s">
        <v>38</v>
      </c>
      <c r="B13" s="14" t="s">
        <v>49</v>
      </c>
      <c r="C13" s="14" t="s">
        <v>16</v>
      </c>
      <c r="D13" s="15" t="n">
        <v>3</v>
      </c>
      <c r="E13" s="14" t="s">
        <v>50</v>
      </c>
      <c r="F13" s="17" t="s">
        <v>51</v>
      </c>
      <c r="G13" s="17" t="s">
        <v>52</v>
      </c>
      <c r="H13" s="17" t="s">
        <v>52</v>
      </c>
      <c r="I13" s="17" t="s">
        <v>52</v>
      </c>
      <c r="J13" s="21" t="s">
        <v>53</v>
      </c>
      <c r="K13" s="12"/>
    </row>
    <row r="14" customFormat="false" ht="15" hidden="false" customHeight="false" outlineLevel="0" collapsed="false">
      <c r="A14" s="6" t="s">
        <v>54</v>
      </c>
      <c r="B14" s="7" t="s">
        <v>55</v>
      </c>
      <c r="C14" s="7" t="s">
        <v>56</v>
      </c>
      <c r="D14" s="8" t="n">
        <v>2</v>
      </c>
      <c r="E14" s="7" t="s">
        <v>57</v>
      </c>
      <c r="F14" s="22" t="s">
        <v>58</v>
      </c>
      <c r="G14" s="9" t="s">
        <v>59</v>
      </c>
      <c r="H14" s="9" t="s">
        <v>59</v>
      </c>
      <c r="I14" s="9" t="s">
        <v>59</v>
      </c>
      <c r="J14" s="23" t="s">
        <v>60</v>
      </c>
      <c r="K14" s="12"/>
    </row>
    <row r="15" customFormat="false" ht="15" hidden="false" customHeight="false" outlineLevel="0" collapsed="false">
      <c r="A15" s="13" t="s">
        <v>54</v>
      </c>
      <c r="B15" s="14" t="s">
        <v>61</v>
      </c>
      <c r="C15" s="14" t="s">
        <v>62</v>
      </c>
      <c r="D15" s="15" t="n">
        <v>1</v>
      </c>
      <c r="E15" s="14" t="s">
        <v>63</v>
      </c>
      <c r="F15" s="16" t="s">
        <v>58</v>
      </c>
      <c r="G15" s="17" t="s">
        <v>64</v>
      </c>
      <c r="H15" s="17" t="s">
        <v>65</v>
      </c>
      <c r="I15" s="17" t="s">
        <v>64</v>
      </c>
      <c r="J15" s="21"/>
      <c r="K15" s="12"/>
    </row>
    <row r="16" customFormat="false" ht="15" hidden="false" customHeight="false" outlineLevel="0" collapsed="false">
      <c r="A16" s="24" t="s">
        <v>66</v>
      </c>
      <c r="B16" s="7" t="s">
        <v>67</v>
      </c>
      <c r="C16" s="7" t="s">
        <v>68</v>
      </c>
      <c r="D16" s="8" t="n">
        <v>1</v>
      </c>
      <c r="E16" s="7" t="s">
        <v>69</v>
      </c>
      <c r="F16" s="9" t="s">
        <v>70</v>
      </c>
      <c r="G16" s="22" t="s">
        <v>58</v>
      </c>
      <c r="H16" s="10"/>
      <c r="I16" s="10"/>
      <c r="J16" s="23" t="s">
        <v>71</v>
      </c>
      <c r="K16" s="12"/>
    </row>
    <row r="17" customFormat="false" ht="15" hidden="false" customHeight="false" outlineLevel="0" collapsed="false">
      <c r="A17" s="13" t="s">
        <v>72</v>
      </c>
      <c r="B17" s="14" t="s">
        <v>73</v>
      </c>
      <c r="C17" s="14" t="s">
        <v>74</v>
      </c>
      <c r="D17" s="15" t="n">
        <v>1</v>
      </c>
      <c r="E17" s="14" t="s">
        <v>75</v>
      </c>
      <c r="F17" s="16" t="s">
        <v>58</v>
      </c>
      <c r="G17" s="17" t="s">
        <v>76</v>
      </c>
      <c r="H17" s="17" t="s">
        <v>76</v>
      </c>
      <c r="I17" s="17" t="s">
        <v>76</v>
      </c>
      <c r="J17" s="20" t="s">
        <v>77</v>
      </c>
      <c r="K17" s="12"/>
    </row>
    <row r="18" customFormat="false" ht="15" hidden="false" customHeight="false" outlineLevel="0" collapsed="false">
      <c r="A18" s="6" t="s">
        <v>78</v>
      </c>
      <c r="B18" s="7" t="s">
        <v>79</v>
      </c>
      <c r="C18" s="7" t="s">
        <v>80</v>
      </c>
      <c r="D18" s="8" t="n">
        <v>1</v>
      </c>
      <c r="E18" s="7" t="s">
        <v>81</v>
      </c>
      <c r="F18" s="9" t="s">
        <v>82</v>
      </c>
      <c r="G18" s="9" t="s">
        <v>83</v>
      </c>
      <c r="H18" s="9" t="s">
        <v>84</v>
      </c>
      <c r="I18" s="9" t="s">
        <v>84</v>
      </c>
      <c r="J18" s="11"/>
      <c r="K18" s="12"/>
    </row>
    <row r="19" customFormat="false" ht="15" hidden="false" customHeight="false" outlineLevel="0" collapsed="false">
      <c r="A19" s="25" t="s">
        <v>85</v>
      </c>
      <c r="B19" s="14" t="s">
        <v>86</v>
      </c>
      <c r="C19" s="14" t="s">
        <v>87</v>
      </c>
      <c r="D19" s="15" t="n">
        <v>1</v>
      </c>
      <c r="E19" s="14" t="s">
        <v>88</v>
      </c>
      <c r="F19" s="16" t="s">
        <v>58</v>
      </c>
      <c r="G19" s="17" t="s">
        <v>89</v>
      </c>
      <c r="H19" s="17" t="s">
        <v>89</v>
      </c>
      <c r="I19" s="17" t="s">
        <v>89</v>
      </c>
      <c r="J19" s="21"/>
      <c r="K19" s="12"/>
    </row>
    <row r="20" customFormat="false" ht="23.1" hidden="false" customHeight="false" outlineLevel="0" collapsed="false">
      <c r="A20" s="6" t="s">
        <v>90</v>
      </c>
      <c r="B20" s="7" t="s">
        <v>91</v>
      </c>
      <c r="C20" s="7" t="s">
        <v>92</v>
      </c>
      <c r="D20" s="8" t="n">
        <v>1</v>
      </c>
      <c r="E20" s="26" t="s">
        <v>93</v>
      </c>
      <c r="F20" s="22" t="s">
        <v>58</v>
      </c>
      <c r="G20" s="9" t="s">
        <v>94</v>
      </c>
      <c r="H20" s="27" t="s">
        <v>94</v>
      </c>
      <c r="I20" s="9" t="s">
        <v>94</v>
      </c>
      <c r="J20" s="28" t="s">
        <v>95</v>
      </c>
      <c r="K20" s="12"/>
    </row>
    <row r="21" customFormat="false" ht="15" hidden="false" customHeight="false" outlineLevel="0" collapsed="false">
      <c r="A21" s="13" t="s">
        <v>96</v>
      </c>
      <c r="B21" s="14" t="s">
        <v>97</v>
      </c>
      <c r="C21" s="14" t="s">
        <v>98</v>
      </c>
      <c r="D21" s="15" t="n">
        <v>1</v>
      </c>
      <c r="E21" s="26" t="s">
        <v>99</v>
      </c>
      <c r="F21" s="16" t="s">
        <v>58</v>
      </c>
      <c r="G21" s="17" t="s">
        <v>100</v>
      </c>
      <c r="H21" s="27" t="s">
        <v>101</v>
      </c>
      <c r="I21" s="18"/>
      <c r="J21" s="19" t="s">
        <v>102</v>
      </c>
      <c r="K21" s="12"/>
    </row>
    <row r="22" customFormat="false" ht="15" hidden="false" customHeight="false" outlineLevel="0" collapsed="false">
      <c r="A22" s="6" t="s">
        <v>38</v>
      </c>
      <c r="B22" s="7" t="s">
        <v>103</v>
      </c>
      <c r="C22" s="7" t="s">
        <v>104</v>
      </c>
      <c r="D22" s="8" t="n">
        <v>1</v>
      </c>
      <c r="E22" s="29" t="s">
        <v>105</v>
      </c>
      <c r="F22" s="22" t="s">
        <v>58</v>
      </c>
      <c r="G22" s="9" t="s">
        <v>106</v>
      </c>
      <c r="H22" s="30" t="s">
        <v>107</v>
      </c>
      <c r="I22" s="10"/>
      <c r="J22" s="23" t="s">
        <v>108</v>
      </c>
      <c r="K22" s="12"/>
    </row>
    <row r="23" customFormat="false" ht="23.85" hidden="false" customHeight="false" outlineLevel="0" collapsed="false">
      <c r="A23" s="13" t="s">
        <v>38</v>
      </c>
      <c r="B23" s="14" t="s">
        <v>109</v>
      </c>
      <c r="C23" s="14" t="s">
        <v>110</v>
      </c>
      <c r="D23" s="15" t="n">
        <v>1</v>
      </c>
      <c r="E23" s="29" t="s">
        <v>111</v>
      </c>
      <c r="F23" s="16" t="s">
        <v>58</v>
      </c>
      <c r="G23" s="17" t="s">
        <v>112</v>
      </c>
      <c r="H23" s="30" t="s">
        <v>113</v>
      </c>
      <c r="I23" s="18"/>
      <c r="J23" s="21"/>
      <c r="K23" s="12"/>
    </row>
    <row r="24" customFormat="false" ht="23.1" hidden="false" customHeight="false" outlineLevel="0" collapsed="false">
      <c r="A24" s="6" t="s">
        <v>38</v>
      </c>
      <c r="B24" s="7" t="s">
        <v>114</v>
      </c>
      <c r="C24" s="7" t="s">
        <v>110</v>
      </c>
      <c r="D24" s="8" t="n">
        <v>1</v>
      </c>
      <c r="E24" s="29" t="s">
        <v>115</v>
      </c>
      <c r="F24" s="22" t="s">
        <v>58</v>
      </c>
      <c r="G24" s="9" t="s">
        <v>116</v>
      </c>
      <c r="H24" s="31" t="s">
        <v>117</v>
      </c>
      <c r="I24" s="10"/>
      <c r="J24" s="28" t="s">
        <v>118</v>
      </c>
      <c r="K24" s="12"/>
    </row>
    <row r="25" customFormat="false" ht="15" hidden="false" customHeight="false" outlineLevel="0" collapsed="false">
      <c r="A25" s="25" t="s">
        <v>119</v>
      </c>
      <c r="B25" s="14" t="s">
        <v>120</v>
      </c>
      <c r="C25" s="14" t="s">
        <v>121</v>
      </c>
      <c r="D25" s="15" t="n">
        <v>1</v>
      </c>
      <c r="E25" s="14" t="s">
        <v>122</v>
      </c>
      <c r="F25" s="17" t="s">
        <v>123</v>
      </c>
      <c r="G25" s="17" t="s">
        <v>124</v>
      </c>
      <c r="H25" s="17" t="s">
        <v>125</v>
      </c>
      <c r="I25" s="17" t="s">
        <v>125</v>
      </c>
      <c r="J25" s="32" t="s">
        <v>126</v>
      </c>
      <c r="K25" s="12"/>
    </row>
    <row r="26" customFormat="false" ht="23.1" hidden="false" customHeight="false" outlineLevel="0" collapsed="false">
      <c r="A26" s="6" t="s">
        <v>127</v>
      </c>
      <c r="B26" s="7" t="s">
        <v>128</v>
      </c>
      <c r="C26" s="7" t="s">
        <v>129</v>
      </c>
      <c r="D26" s="8" t="n">
        <v>1</v>
      </c>
      <c r="E26" s="7" t="s">
        <v>130</v>
      </c>
      <c r="F26" s="9" t="s">
        <v>131</v>
      </c>
      <c r="G26" s="9" t="s">
        <v>128</v>
      </c>
      <c r="H26" s="10"/>
      <c r="I26" s="10"/>
      <c r="J26" s="11" t="s">
        <v>132</v>
      </c>
      <c r="K26" s="12"/>
    </row>
    <row r="27" customFormat="false" ht="23.1" hidden="false" customHeight="false" outlineLevel="0" collapsed="false">
      <c r="A27" s="13" t="s">
        <v>133</v>
      </c>
      <c r="B27" s="14" t="s">
        <v>134</v>
      </c>
      <c r="C27" s="14" t="s">
        <v>135</v>
      </c>
      <c r="D27" s="15" t="n">
        <v>1</v>
      </c>
      <c r="E27" s="14" t="s">
        <v>136</v>
      </c>
      <c r="F27" s="16" t="s">
        <v>58</v>
      </c>
      <c r="G27" s="17" t="s">
        <v>137</v>
      </c>
      <c r="H27" s="33" t="s">
        <v>137</v>
      </c>
      <c r="I27" s="17" t="s">
        <v>138</v>
      </c>
      <c r="J27" s="32" t="s">
        <v>139</v>
      </c>
      <c r="K27" s="12"/>
    </row>
    <row r="28" customFormat="false" ht="15" hidden="false" customHeight="false" outlineLevel="0" collapsed="false">
      <c r="A28" s="6" t="s">
        <v>133</v>
      </c>
      <c r="B28" s="7" t="s">
        <v>140</v>
      </c>
      <c r="C28" s="7" t="s">
        <v>141</v>
      </c>
      <c r="D28" s="8" t="n">
        <v>1</v>
      </c>
      <c r="E28" s="7" t="s">
        <v>142</v>
      </c>
      <c r="F28" s="22" t="s">
        <v>58</v>
      </c>
      <c r="G28" s="34" t="s">
        <v>143</v>
      </c>
      <c r="H28" s="9" t="s">
        <v>144</v>
      </c>
      <c r="I28" s="9" t="s">
        <v>144</v>
      </c>
      <c r="J28" s="28"/>
      <c r="K28" s="12"/>
    </row>
    <row r="29" customFormat="false" ht="15" hidden="false" customHeight="false" outlineLevel="0" collapsed="false">
      <c r="A29" s="13" t="s">
        <v>145</v>
      </c>
      <c r="B29" s="14" t="s">
        <v>146</v>
      </c>
      <c r="C29" s="35" t="s">
        <v>147</v>
      </c>
      <c r="D29" s="15" t="n">
        <v>1</v>
      </c>
      <c r="E29" s="14" t="s">
        <v>148</v>
      </c>
      <c r="F29" s="17" t="s">
        <v>149</v>
      </c>
      <c r="G29" s="17" t="s">
        <v>150</v>
      </c>
      <c r="H29" s="18"/>
      <c r="I29" s="17" t="s">
        <v>151</v>
      </c>
      <c r="J29" s="19" t="s">
        <v>152</v>
      </c>
      <c r="K29" s="12"/>
    </row>
    <row r="30" customFormat="false" ht="15" hidden="false" customHeight="false" outlineLevel="0" collapsed="false">
      <c r="A30" s="6" t="s">
        <v>153</v>
      </c>
      <c r="B30" s="7" t="s">
        <v>154</v>
      </c>
      <c r="C30" s="7" t="s">
        <v>155</v>
      </c>
      <c r="D30" s="8" t="n">
        <v>1</v>
      </c>
      <c r="E30" s="7" t="s">
        <v>156</v>
      </c>
      <c r="F30" s="9" t="s">
        <v>157</v>
      </c>
      <c r="G30" s="9" t="s">
        <v>158</v>
      </c>
      <c r="H30" s="10"/>
      <c r="I30" s="10"/>
      <c r="J30" s="36" t="s">
        <v>159</v>
      </c>
      <c r="K30" s="12"/>
    </row>
    <row r="31" customFormat="false" ht="23.1" hidden="false" customHeight="false" outlineLevel="0" collapsed="false">
      <c r="A31" s="13" t="s">
        <v>160</v>
      </c>
      <c r="B31" s="14" t="s">
        <v>161</v>
      </c>
      <c r="C31" s="14" t="s">
        <v>155</v>
      </c>
      <c r="D31" s="15" t="n">
        <v>2</v>
      </c>
      <c r="E31" s="14" t="s">
        <v>162</v>
      </c>
      <c r="F31" s="37" t="s">
        <v>163</v>
      </c>
      <c r="G31" s="18"/>
      <c r="H31" s="18"/>
      <c r="I31" s="18"/>
      <c r="J31" s="21" t="s">
        <v>164</v>
      </c>
      <c r="K31" s="12"/>
    </row>
    <row r="32" customFormat="false" ht="15" hidden="false" customHeight="false" outlineLevel="0" collapsed="false">
      <c r="C32" s="38" t="s">
        <v>165</v>
      </c>
      <c r="D32" s="39" t="n">
        <f aca="false">SUM(D6:D31)</f>
        <v>43</v>
      </c>
      <c r="E32" s="2" t="s">
        <v>166</v>
      </c>
    </row>
  </sheetData>
  <autoFilter ref="A5:K31"/>
  <hyperlinks>
    <hyperlink ref="F6" r:id="rId1" display="100個入 ¥150 (130357)"/>
    <hyperlink ref="G6" r:id="rId2" display="RC0603FR-07100KL"/>
    <hyperlink ref="G7" r:id="rId3" display="RC0603FR-0722KL"/>
    <hyperlink ref="F8" r:id="rId4" display="100個入 ¥150 (130355)"/>
    <hyperlink ref="G8" r:id="rId5" display="RC0603FR-0710KL"/>
    <hyperlink ref="F9" r:id="rId6" display="5000個リール ¥980 (130332)"/>
    <hyperlink ref="G9" r:id="rId7" display="RC0603FR-07120RL"/>
    <hyperlink ref="F10" r:id="rId8" display="5000個リール ¥980 (114122)"/>
    <hyperlink ref="G10" r:id="rId9" display="RC0603FR-071KL"/>
    <hyperlink ref="F11" r:id="rId10" display="0.1µF 100V X7R (114559)"/>
    <hyperlink ref="G11" r:id="rId11" display="CC0603KRX7R9BB104"/>
    <hyperlink ref="F12" r:id="rId12" display="40個入 ¥100 (P-11626)"/>
    <hyperlink ref="G12" r:id="rId13" display="CC0603JRNPO9BN220"/>
    <hyperlink ref="F13" r:id="rId14" display="35V (113161) / 16V (117202)"/>
    <hyperlink ref="G13" r:id="rId15" display="GRM188R61E106KA73D"/>
    <hyperlink ref="H13" r:id="rId16" display="GRM188R61E106KA73D"/>
    <hyperlink ref="I13" r:id="rId17" display="GRM188R61E106KA73D"/>
    <hyperlink ref="G14" r:id="rId18" display="1N5819HW-7-F"/>
    <hyperlink ref="H14" r:id="rId19" display="1N5819HW-7-F"/>
    <hyperlink ref="I14" r:id="rId20" display="1N5819HW-7-F"/>
    <hyperlink ref="G15" r:id="rId21" display="Littelfuse SMAJ16A"/>
    <hyperlink ref="H15" r:id="rId22" display="SMAJ16A"/>
    <hyperlink ref="I15" r:id="rId23" display="Littelfuse SMAJ16A"/>
    <hyperlink ref="F16" r:id="rId24" display="10個入 ¥100 (116854)"/>
    <hyperlink ref="G17" r:id="rId25" display="1206L110/16WR"/>
    <hyperlink ref="H17" r:id="rId26" display="1206L110/16WR"/>
    <hyperlink ref="I17" r:id="rId27" display="1206L110/16WR"/>
    <hyperlink ref="F18" r:id="rId28" display="20個入 ¥100 (105969)"/>
    <hyperlink ref="G18" r:id="rId29" display="MMBT3904"/>
    <hyperlink ref="H18" r:id="rId30" display="onsemi MMBT3904"/>
    <hyperlink ref="I18" r:id="rId31" display="onsemi MMBT3904"/>
    <hyperlink ref="G19" r:id="rId32" display="ZXMP6A17E6QTA"/>
    <hyperlink ref="H19" r:id="rId33" display="ZXMP6A17E6QTA"/>
    <hyperlink ref="I19" r:id="rId34" display="ZXMP6A17E6QTA"/>
    <hyperlink ref="G20" r:id="rId35" display="AP63205WU-7"/>
    <hyperlink ref="H20" r:id="rId36" display="AP63205WU-7"/>
    <hyperlink ref="I20" r:id="rId37" display="AP63205WU-7"/>
    <hyperlink ref="G21" r:id="rId38" display="ASPI-4030S-6R8M"/>
    <hyperlink ref="H21" r:id="rId39" display="ASPI-4030S-6R8M-T"/>
    <hyperlink ref="G22" r:id="rId40" display="GRM31CR71H106KA12"/>
    <hyperlink ref="H22" r:id="rId41" display="810-CNA5L171H106K160"/>
    <hyperlink ref="G23" r:id="rId42" display="GRM21BR61C226ME44"/>
    <hyperlink ref="H23" r:id="rId43" display="81-GXT21BR61C226ME3L"/>
    <hyperlink ref="G24" r:id="rId44" display="0805 100nF 50V"/>
    <hyperlink ref="H24" r:id="rId45" display="581-KAF21BR71H104KM"/>
    <hyperlink ref="F25" r:id="rId46" display="¥400 (112663)"/>
    <hyperlink ref="G25" r:id="rId47" display="MCP25625"/>
    <hyperlink ref="H25" r:id="rId48" display="MCP25625T-E/SS"/>
    <hyperlink ref="I25" r:id="rId49" display="MCP25625T-E/SS"/>
    <hyperlink ref="F26" r:id="rId50" display="Pico 2 H ヘッダ実装済 (130982)"/>
    <hyperlink ref="G26" r:id="rId51" display="Raspberry Pi Pico 2"/>
    <hyperlink ref="G27" r:id="rId52" display="1-967658-1"/>
    <hyperlink ref="H27" r:id="rId53" display="1-967658-1"/>
    <hyperlink ref="I27" r:id="rId54" display="DigiKey Marketplace"/>
    <hyperlink ref="G28" r:id="rId55" display="ヒロセ DM3AT-SF-PEJM5"/>
    <hyperlink ref="H28" r:id="rId56" display="DM3AT-SF-PEJM5"/>
    <hyperlink ref="I28" r:id="rId57" display="DM3AT-SF-PEJM5"/>
    <hyperlink ref="F29" r:id="rId58" display="¥3,180 (117980)"/>
    <hyperlink ref="G29" r:id="rId59" display="GT-502MGG-N"/>
    <hyperlink ref="I29" r:id="rId60" display="YIC GT-502MGG-N"/>
    <hyperlink ref="F30" r:id="rId61" display="CL=20pF (108671)"/>
    <hyperlink ref="G30" r:id="rId62" display="16MHz HC-49"/>
    <hyperlink ref="F31" r:id="rId63" display="分割ロングピンソケット 1×42 (105779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30.93"/>
    <col collapsed="false" customWidth="true" hidden="false" outlineLevel="0" max="3" min="3" style="0" width="87.34"/>
  </cols>
  <sheetData>
    <row r="1" customFormat="false" ht="17.35" hidden="false" customHeight="false" outlineLevel="0" collapsed="false">
      <c r="A1" s="40" t="s">
        <v>167</v>
      </c>
    </row>
    <row r="3" customFormat="false" ht="15" hidden="false" customHeight="false" outlineLevel="0" collapsed="false">
      <c r="A3" s="4" t="s">
        <v>168</v>
      </c>
      <c r="B3" s="4" t="s">
        <v>169</v>
      </c>
      <c r="C3" s="4" t="s">
        <v>170</v>
      </c>
    </row>
    <row r="4" customFormat="false" ht="45.75" hidden="false" customHeight="true" outlineLevel="0" collapsed="false">
      <c r="A4" s="41" t="s">
        <v>171</v>
      </c>
      <c r="B4" s="42" t="s">
        <v>172</v>
      </c>
      <c r="C4" s="43" t="s">
        <v>173</v>
      </c>
    </row>
    <row r="5" customFormat="false" ht="45.75" hidden="false" customHeight="true" outlineLevel="0" collapsed="false">
      <c r="A5" s="41" t="s">
        <v>171</v>
      </c>
      <c r="B5" s="42" t="s">
        <v>174</v>
      </c>
      <c r="C5" s="43" t="s">
        <v>175</v>
      </c>
    </row>
    <row r="6" customFormat="false" ht="45.75" hidden="false" customHeight="true" outlineLevel="0" collapsed="false">
      <c r="A6" s="41" t="s">
        <v>171</v>
      </c>
      <c r="B6" s="42" t="s">
        <v>176</v>
      </c>
      <c r="C6" s="44" t="s">
        <v>177</v>
      </c>
    </row>
    <row r="7" customFormat="false" ht="45.75" hidden="false" customHeight="true" outlineLevel="0" collapsed="false">
      <c r="A7" s="45" t="s">
        <v>178</v>
      </c>
      <c r="B7" s="42" t="s">
        <v>179</v>
      </c>
      <c r="C7" s="44" t="s">
        <v>180</v>
      </c>
    </row>
    <row r="8" customFormat="false" ht="45.75" hidden="false" customHeight="true" outlineLevel="0" collapsed="false">
      <c r="A8" s="46" t="s">
        <v>181</v>
      </c>
      <c r="B8" s="42" t="s">
        <v>182</v>
      </c>
      <c r="C8" s="44" t="s">
        <v>183</v>
      </c>
    </row>
    <row r="9" customFormat="false" ht="45.75" hidden="false" customHeight="true" outlineLevel="0" collapsed="false">
      <c r="A9" s="46" t="s">
        <v>184</v>
      </c>
      <c r="B9" s="42" t="s">
        <v>185</v>
      </c>
      <c r="C9" s="44" t="s">
        <v>186</v>
      </c>
    </row>
    <row r="10" customFormat="false" ht="45.75" hidden="false" customHeight="true" outlineLevel="0" collapsed="false">
      <c r="A10" s="45" t="s">
        <v>178</v>
      </c>
      <c r="B10" s="42" t="s">
        <v>187</v>
      </c>
      <c r="C10" s="44" t="s">
        <v>188</v>
      </c>
    </row>
    <row r="11" customFormat="false" ht="45.75" hidden="false" customHeight="true" outlineLevel="0" collapsed="false">
      <c r="A11" s="45" t="s">
        <v>189</v>
      </c>
      <c r="B11" s="42" t="s">
        <v>190</v>
      </c>
      <c r="C11" s="44" t="s">
        <v>191</v>
      </c>
    </row>
    <row r="12" customFormat="false" ht="45.75" hidden="false" customHeight="true" outlineLevel="0" collapsed="false">
      <c r="A12" s="45" t="s">
        <v>189</v>
      </c>
      <c r="B12" s="47" t="s">
        <v>192</v>
      </c>
      <c r="C12" s="44" t="s">
        <v>193</v>
      </c>
    </row>
    <row r="13" customFormat="false" ht="45.75" hidden="false" customHeight="true" outlineLevel="0" collapsed="false">
      <c r="A13" s="45" t="s">
        <v>189</v>
      </c>
      <c r="B13" s="47" t="s">
        <v>194</v>
      </c>
      <c r="C13" s="44" t="s">
        <v>195</v>
      </c>
    </row>
    <row r="14" customFormat="false" ht="45.75" hidden="false" customHeight="true" outlineLevel="0" collapsed="false">
      <c r="A14" s="45" t="s">
        <v>196</v>
      </c>
      <c r="B14" s="42" t="s">
        <v>197</v>
      </c>
      <c r="C14" s="43" t="s">
        <v>198</v>
      </c>
    </row>
    <row r="15" customFormat="false" ht="45.75" hidden="false" customHeight="true" outlineLevel="0" collapsed="false">
      <c r="A15" s="45" t="s">
        <v>196</v>
      </c>
      <c r="B15" s="42" t="s">
        <v>199</v>
      </c>
      <c r="C15" s="43" t="s">
        <v>200</v>
      </c>
    </row>
    <row r="16" customFormat="false" ht="45.75" hidden="false" customHeight="true" outlineLevel="0" collapsed="false">
      <c r="A16" s="45" t="s">
        <v>196</v>
      </c>
      <c r="B16" s="42" t="s">
        <v>201</v>
      </c>
      <c r="C16" s="43" t="s">
        <v>202</v>
      </c>
    </row>
    <row r="17" customFormat="false" ht="45.75" hidden="false" customHeight="true" outlineLevel="0" collapsed="false">
      <c r="A17" s="46" t="s">
        <v>184</v>
      </c>
      <c r="B17" s="42" t="s">
        <v>203</v>
      </c>
      <c r="C17" s="44" t="s">
        <v>204</v>
      </c>
    </row>
    <row r="18" customFormat="false" ht="45.75" hidden="false" customHeight="true" outlineLevel="0" collapsed="false">
      <c r="A18" s="46" t="s">
        <v>205</v>
      </c>
      <c r="B18" s="42" t="s">
        <v>206</v>
      </c>
      <c r="C18" s="4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2026-08-13T23:34:52Z</dcterms:created>
  <dc:creator>openpyxl</dc:creator>
  <dc:description/>
  <dc:language>ja-JP</dc:language>
  <cp:lastModifiedBy/>
  <dcterms:modified xsi:type="dcterms:W3CDTF">2026-08-14T11:30:41Z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